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  <sheet state="visible" name="Botball &amp; Open" sheetId="2" r:id="rId6"/>
    <sheet state="visible" name="Aerial" sheetId="3" r:id="rId7"/>
  </sheets>
  <definedNames>
    <definedName hidden="1" localSheetId="1" name="_xlnm._FilterDatabase">'Botball &amp; Open'!$A$2:$X$18</definedName>
  </definedNames>
  <calcPr/>
</workbook>
</file>

<file path=xl/sharedStrings.xml><?xml version="1.0" encoding="utf-8"?>
<sst xmlns="http://schemas.openxmlformats.org/spreadsheetml/2006/main" count="72" uniqueCount="32">
  <si>
    <t>Team ID</t>
  </si>
  <si>
    <t>Team Name</t>
  </si>
  <si>
    <t>Country</t>
  </si>
  <si>
    <t>Organization</t>
  </si>
  <si>
    <t>Seeding 1</t>
  </si>
  <si>
    <t>Seeding 2</t>
  </si>
  <si>
    <t>Seeding 3</t>
  </si>
  <si>
    <t>Seeding Total</t>
  </si>
  <si>
    <t>Seeding Rank</t>
  </si>
  <si>
    <t>Seeding Score</t>
  </si>
  <si>
    <t>DE Bracket</t>
  </si>
  <si>
    <t>DE Rank</t>
  </si>
  <si>
    <t>DE Bracket Score</t>
  </si>
  <si>
    <t>DE Score</t>
  </si>
  <si>
    <t>Paper</t>
  </si>
  <si>
    <t>Paper Score</t>
  </si>
  <si>
    <t>Paper Rank</t>
  </si>
  <si>
    <t>Doc P1</t>
  </si>
  <si>
    <t>Doc P2</t>
  </si>
  <si>
    <t>Doc P3</t>
  </si>
  <si>
    <t>Onsite</t>
  </si>
  <si>
    <t>Doc Score</t>
  </si>
  <si>
    <t>Doc+Paper Score</t>
  </si>
  <si>
    <t>Doc+Paper Rank</t>
  </si>
  <si>
    <t>Overall Score</t>
  </si>
  <si>
    <t>Overall Rank</t>
  </si>
  <si>
    <t>Run 1</t>
  </si>
  <si>
    <t>Run 2</t>
  </si>
  <si>
    <t>Run 3</t>
  </si>
  <si>
    <t>Run 4</t>
  </si>
  <si>
    <t>Score</t>
  </si>
  <si>
    <t>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</si>
</sst>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  <font>
      <color rgb="FF356854"/>
      <name val="Arial"/>
      <scheme val="minor"/>
    </font>
    <font>
      <b/>
      <color rgb="FF356854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textRotation="75" vertical="center" wrapText="1"/>
    </xf>
    <xf borderId="3" fillId="0" fontId="1" numFmtId="0" xfId="0" applyAlignment="1" applyBorder="1" applyFont="1">
      <alignment horizontal="left" readingOrder="0" shrinkToFit="0" textRotation="75" vertical="center" wrapText="1"/>
    </xf>
    <xf borderId="0" fillId="0" fontId="3" numFmtId="0" xfId="0" applyAlignment="1" applyFont="1">
      <alignment horizontal="left" readingOrder="0" shrinkToFit="0" textRotation="75" vertical="center" wrapText="1"/>
    </xf>
    <xf borderId="0" fillId="0" fontId="1" numFmtId="0" xfId="0" applyAlignment="1" applyFont="1">
      <alignment horizontal="left" readingOrder="0" shrinkToFit="0" textRotation="75" vertical="center" wrapText="1"/>
    </xf>
    <xf borderId="3" fillId="0" fontId="1" numFmtId="0" xfId="0" applyAlignment="1" applyBorder="1" applyFont="1">
      <alignment horizontal="left" readingOrder="0" shrinkToFit="0" textRotation="75" vertical="center" wrapText="1"/>
    </xf>
    <xf borderId="0" fillId="0" fontId="3" numFmtId="49" xfId="0" applyAlignment="1" applyFont="1" applyNumberFormat="1">
      <alignment horizontal="left" readingOrder="0" shrinkToFit="0" textRotation="75" vertical="center" wrapText="1"/>
    </xf>
    <xf borderId="0" fillId="0" fontId="1" numFmtId="49" xfId="0" applyAlignment="1" applyFont="1" applyNumberFormat="1">
      <alignment horizontal="left" readingOrder="0" shrinkToFit="0" textRotation="75" vertical="center" wrapText="1"/>
    </xf>
    <xf borderId="3" fillId="0" fontId="1" numFmtId="0" xfId="0" applyAlignment="1" applyBorder="1" applyFont="1">
      <alignment horizontal="left" readingOrder="0" shrinkToFit="0" textRotation="75" vertical="center" wrapText="1"/>
    </xf>
    <xf borderId="0" fillId="0" fontId="1" numFmtId="0" xfId="0" applyAlignment="1" applyFon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2" xfId="0" applyAlignment="1" applyBorder="1" applyFont="1" applyNumberForma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3" fillId="0" fontId="4" numFmtId="0" xfId="0" applyAlignment="1" applyBorder="1" applyFont="1">
      <alignment horizontal="left" readingOrder="0" shrinkToFit="0" textRotation="75" vertical="center" wrapText="1"/>
    </xf>
    <xf borderId="0" fillId="0" fontId="4" numFmtId="0" xfId="0" applyAlignment="1" applyFont="1">
      <alignment horizontal="left" readingOrder="0" shrinkToFit="0" textRotation="75" vertical="center" wrapText="1"/>
    </xf>
    <xf borderId="0" fillId="0" fontId="5" numFmtId="0" xfId="0" applyAlignment="1" applyFont="1">
      <alignment horizontal="left" readingOrder="0" shrinkToFit="0" textRotation="75" vertical="center" wrapText="1"/>
    </xf>
    <xf borderId="3" fillId="4" fontId="1" numFmtId="0" xfId="0" applyAlignment="1" applyBorder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3" fillId="4" fontId="1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0"/>
    </xf>
    <xf borderId="3" fillId="0" fontId="1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0" fillId="4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textRotation="75" vertical="center" wrapText="0"/>
    </xf>
    <xf borderId="3" fillId="0" fontId="1" numFmtId="0" xfId="0" applyAlignment="1" applyBorder="1" applyFont="1">
      <alignment horizontal="left" readingOrder="0" shrinkToFit="0" textRotation="75" vertical="center" wrapText="0"/>
    </xf>
    <xf borderId="0" fillId="0" fontId="3" numFmtId="0" xfId="0" applyAlignment="1" applyFont="1">
      <alignment horizontal="left" readingOrder="0" shrinkToFit="0" textRotation="75" vertical="center" wrapText="0"/>
    </xf>
    <xf borderId="0" fillId="0" fontId="1" numFmtId="0" xfId="0" applyAlignment="1" applyFont="1">
      <alignment textRotation="75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Border="1" applyFont="1"/>
    <xf borderId="0" fillId="0" fontId="3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215A6C"/>
          <bgColor rgb="FF215A6C"/>
        </patternFill>
      </fill>
      <border/>
    </dxf>
  </dxfs>
  <tableStyles count="7">
    <tableStyle count="4" pivot="0" name="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eams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eams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Botball &amp; Op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tball &amp; Open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erial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8" displayName="Botball" name="Botball" id="1">
  <tableColumns count="4">
    <tableColumn name="Team ID" id="1"/>
    <tableColumn name="Team Name" id="2"/>
    <tableColumn name="Country" id="3"/>
    <tableColumn name="Organization" id="4"/>
  </tableColumns>
  <tableStyleInfo name="Teams-style" showColumnStripes="0" showFirstColumn="1" showLastColumn="1" showRowStripes="1"/>
</table>
</file>

<file path=xl/tables/table2.xml><?xml version="1.0" encoding="utf-8"?>
<table xmlns="http://schemas.openxmlformats.org/spreadsheetml/2006/main" ref="A20:D26" displayName="Open" name="Open" id="2">
  <tableColumns count="4">
    <tableColumn name="Team ID" id="1"/>
    <tableColumn name="Team Name" id="2"/>
    <tableColumn name="Country" id="3"/>
    <tableColumn name="Organization" id="4"/>
  </tableColumns>
  <tableStyleInfo name="Teams-style 2" showColumnStripes="0" showFirstColumn="1" showLastColumn="1" showRowStripes="1"/>
</table>
</file>

<file path=xl/tables/table3.xml><?xml version="1.0" encoding="utf-8"?>
<table xmlns="http://schemas.openxmlformats.org/spreadsheetml/2006/main" ref="A28:D37" displayName="Aerial" name="Aerial" id="3">
  <tableColumns count="4">
    <tableColumn name="Team ID" id="1"/>
    <tableColumn name="Team Name" id="2"/>
    <tableColumn name="Country" id="3"/>
    <tableColumn name="Organization" id="4"/>
  </tableColumns>
  <tableStyleInfo name="Teams-style 3" showColumnStripes="0" showFirstColumn="1" showLastColumn="1" showRowStripes="1"/>
</table>
</file>

<file path=xl/tables/table4.xml><?xml version="1.0" encoding="utf-8"?>
<table xmlns="http://schemas.openxmlformats.org/spreadsheetml/2006/main" ref="A39:D42" displayName="Junior_Botball_Challenge" name="Junior_Botball_Challenge" id="4">
  <tableColumns count="4">
    <tableColumn name="Team ID" id="1"/>
    <tableColumn name="Team Name" id="2"/>
    <tableColumn name="Country" id="3"/>
    <tableColumn name="Organization" id="4"/>
  </tableColumns>
  <tableStyleInfo name="Teams-style 4" showColumnStripes="0" showFirstColumn="1" showLastColumn="1" showRowStripes="1"/>
</table>
</file>

<file path=xl/tables/table5.xml><?xml version="1.0" encoding="utf-8"?>
<table xmlns="http://schemas.openxmlformats.org/spreadsheetml/2006/main" ref="A2:X18" displayName="Botball_Scores" name="Botball_Scores" id="5">
  <autoFilter ref="$A$2:$X$18"/>
  <tableColumns count="24">
    <tableColumn name="Team ID" id="1"/>
    <tableColumn name="Team Name" id="2"/>
    <tableColumn name="Seeding 1" id="3"/>
    <tableColumn name="Seeding 2" id="4"/>
    <tableColumn name="Seeding 3" id="5"/>
    <tableColumn name="Seeding Total" id="6"/>
    <tableColumn name="Seeding Rank" id="7"/>
    <tableColumn name="Seeding Score" id="8"/>
    <tableColumn name="DE Bracket" id="9"/>
    <tableColumn name="DE Rank" id="10"/>
    <tableColumn name="DE Bracket Score" id="11"/>
    <tableColumn name="DE Score" id="12"/>
    <tableColumn name="Paper" id="13"/>
    <tableColumn name="Paper Score" id="14"/>
    <tableColumn name="Paper Rank" id="15"/>
    <tableColumn name="Doc P1" id="16"/>
    <tableColumn name="Doc P2" id="17"/>
    <tableColumn name="Doc P3" id="18"/>
    <tableColumn name="Onsite" id="19"/>
    <tableColumn name="Doc Score" id="20"/>
    <tableColumn name="Doc+Paper Score" id="21"/>
    <tableColumn name="Doc+Paper Rank" id="22"/>
    <tableColumn name="Overall Score" id="23"/>
    <tableColumn name="Overall Rank" id="24"/>
  </tableColumns>
  <tableStyleInfo name="Botball &amp; Open-style" showColumnStripes="0" showFirstColumn="1" showLastColumn="1" showRowStripes="1"/>
</table>
</file>

<file path=xl/tables/table6.xml><?xml version="1.0" encoding="utf-8"?>
<table xmlns="http://schemas.openxmlformats.org/spreadsheetml/2006/main" ref="A20:X26" displayName="Open_Scores" name="Open_Scores" id="6">
  <tableColumns count="24">
    <tableColumn name="Team ID" id="1"/>
    <tableColumn name="Team Name" id="2"/>
    <tableColumn name="Seeding 1" id="3"/>
    <tableColumn name="Seeding 2" id="4"/>
    <tableColumn name="Seeding 3" id="5"/>
    <tableColumn name="Seeding Total" id="6"/>
    <tableColumn name="Seeding Rank" id="7"/>
    <tableColumn name="Seeding Score" id="8"/>
    <tableColumn name="DE Bracket" id="9"/>
    <tableColumn name="DE Rank" id="10"/>
    <tableColumn name="DE Bracket Score" id="11"/>
    <tableColumn name="DE Score" id="12"/>
    <tableColumn name="Paper" id="13"/>
    <tableColumn name="Paper Score" id="14"/>
    <tableColumn name="Paper Rank" id="15"/>
    <tableColumn name="Doc P1" id="16"/>
    <tableColumn name="Doc P2" id="17"/>
    <tableColumn name="Doc P3" id="18"/>
    <tableColumn name="Onsite" id="19"/>
    <tableColumn name="Doc Score" id="20"/>
    <tableColumn name="Doc+Paper Score" id="21"/>
    <tableColumn name="Doc+Paper Rank" id="22"/>
    <tableColumn name="Overall Score" id="23"/>
    <tableColumn name="Overall Rank" id="24"/>
  </tableColumns>
  <tableStyleInfo name="Botball &amp; Open-style 2" showColumnStripes="0" showFirstColumn="1" showLastColumn="1" showRowStripes="1"/>
</table>
</file>

<file path=xl/tables/table7.xml><?xml version="1.0" encoding="utf-8"?>
<table xmlns="http://schemas.openxmlformats.org/spreadsheetml/2006/main" ref="A2:H11" displayName="Aerial_Scores" name="Aerial_Scores" id="7">
  <tableColumns count="8">
    <tableColumn name="Team ID" id="1"/>
    <tableColumn name="Team Name" id="2"/>
    <tableColumn name="Run 1" id="3"/>
    <tableColumn name="Run 2" id="4"/>
    <tableColumn name="Run 3" id="5"/>
    <tableColumn name="Run 4" id="6"/>
    <tableColumn name="Score" id="7"/>
    <tableColumn name="Rank" id="8"/>
  </tableColumns>
  <tableStyleInfo name="Aer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0.75"/>
    <col customWidth="1" min="3" max="3" width="10.0"/>
    <col customWidth="1" min="4" max="4" width="36.75"/>
    <col customWidth="1" min="5" max="5" width="3.38"/>
  </cols>
  <sheetData>
    <row r="1">
      <c r="B1" s="1"/>
      <c r="C1" s="1"/>
      <c r="D1" s="1"/>
    </row>
    <row r="2">
      <c r="A2" s="2" t="s">
        <v>0</v>
      </c>
      <c r="B2" s="2" t="s">
        <v>1</v>
      </c>
      <c r="C2" s="2" t="s">
        <v>2</v>
      </c>
      <c r="D2" s="2" t="s">
        <v>3</v>
      </c>
    </row>
    <row r="3">
      <c r="A3" s="3" t="str">
        <f>IFERROR(__xludf.DUMMYFUNCTION("IMPORTRANGE(""https://docs.google.com/spreadsheets/d/1r4f38kmCy0wFTzoBJwABhAVM6gbEPwv1HgEiFItNXjY/"", ""Botball"")"),"25-0188")</f>
        <v>25-0188</v>
      </c>
      <c r="B3" s="3" t="str">
        <f>IFERROR(__xludf.DUMMYFUNCTION("""COMPUTED_VALUE"""),"2nd place")</f>
        <v>2nd place</v>
      </c>
      <c r="C3" s="3" t="str">
        <f>IFERROR(__xludf.DUMMYFUNCTION("""COMPUTED_VALUE"""),"Austria")</f>
        <v>Austria</v>
      </c>
      <c r="D3" s="3" t="str">
        <f>IFERROR(__xludf.DUMMYFUNCTION("""COMPUTED_VALUE"""),"HTL Wiener Neustadt")</f>
        <v>HTL Wiener Neustadt</v>
      </c>
    </row>
    <row r="4">
      <c r="A4" s="3" t="str">
        <f>IFERROR(__xludf.DUMMYFUNCTION("""COMPUTED_VALUE"""),"25-0367")</f>
        <v>25-0367</v>
      </c>
      <c r="B4" s="3" t="str">
        <f>IFERROR(__xludf.DUMMYFUNCTION("""COMPUTED_VALUE"""),"Hamstinator")</f>
        <v>Hamstinator</v>
      </c>
      <c r="C4" s="3" t="str">
        <f>IFERROR(__xludf.DUMMYFUNCTION("""COMPUTED_VALUE"""),"Austria")</f>
        <v>Austria</v>
      </c>
      <c r="D4" s="3" t="str">
        <f>IFERROR(__xludf.DUMMYFUNCTION("""COMPUTED_VALUE"""),"TGM")</f>
        <v>TGM</v>
      </c>
    </row>
    <row r="5">
      <c r="A5" s="3" t="str">
        <f>IFERROR(__xludf.DUMMYFUNCTION("""COMPUTED_VALUE"""),"25-0397")</f>
        <v>25-0397</v>
      </c>
      <c r="B5" s="3" t="str">
        <f>IFERROR(__xludf.DUMMYFUNCTION("""COMPUTED_VALUE"""),"HTL Saalfelden")</f>
        <v>HTL Saalfelden</v>
      </c>
      <c r="C5" s="3" t="str">
        <f>IFERROR(__xludf.DUMMYFUNCTION("""COMPUTED_VALUE"""),"Austria")</f>
        <v>Austria</v>
      </c>
      <c r="D5" s="3" t="str">
        <f>IFERROR(__xludf.DUMMYFUNCTION("""COMPUTED_VALUE"""),"HTL Saalfelden")</f>
        <v>HTL Saalfelden</v>
      </c>
    </row>
    <row r="6">
      <c r="A6" s="3" t="str">
        <f>IFERROR(__xludf.DUMMYFUNCTION("""COMPUTED_VALUE"""),"25-0538")</f>
        <v>25-0538</v>
      </c>
      <c r="B6" s="3" t="str">
        <f>IFERROR(__xludf.DUMMYFUNCTION("""COMPUTED_VALUE"""),"RoBo Masters")</f>
        <v>RoBo Masters</v>
      </c>
      <c r="C6" s="3" t="str">
        <f>IFERROR(__xludf.DUMMYFUNCTION("""COMPUTED_VALUE"""),"Kuwait")</f>
        <v>Kuwait</v>
      </c>
      <c r="D6" s="3" t="str">
        <f>IFERROR(__xludf.DUMMYFUNCTION("""COMPUTED_VALUE"""),"Al-Ru'ya Bilingual School")</f>
        <v>Al-Ru'ya Bilingual School</v>
      </c>
    </row>
    <row r="7">
      <c r="A7" s="3" t="str">
        <f>IFERROR(__xludf.DUMMYFUNCTION("""COMPUTED_VALUE"""),"25-0602")</f>
        <v>25-0602</v>
      </c>
      <c r="B7" s="3" t="str">
        <f>IFERROR(__xludf.DUMMYFUNCTION("""COMPUTED_VALUE"""),"F2P")</f>
        <v>F2P</v>
      </c>
      <c r="C7" s="3" t="str">
        <f>IFERROR(__xludf.DUMMYFUNCTION("""COMPUTED_VALUE"""),"Austria")</f>
        <v>Austria</v>
      </c>
      <c r="D7" s="3" t="str">
        <f>IFERROR(__xludf.DUMMYFUNCTION("""COMPUTED_VALUE"""),"HTL Wiener Neustadt")</f>
        <v>HTL Wiener Neustadt</v>
      </c>
    </row>
    <row r="8">
      <c r="A8" s="3" t="str">
        <f>IFERROR(__xludf.DUMMYFUNCTION("""COMPUTED_VALUE"""),"25-0603")</f>
        <v>25-0603</v>
      </c>
      <c r="B8" s="3" t="str">
        <f>IFERROR(__xludf.DUMMYFUNCTION("""COMPUTED_VALUE"""),"HexCat")</f>
        <v>HexCat</v>
      </c>
      <c r="C8" s="3" t="str">
        <f>IFERROR(__xludf.DUMMYFUNCTION("""COMPUTED_VALUE"""),"Austria")</f>
        <v>Austria</v>
      </c>
      <c r="D8" s="3" t="str">
        <f>IFERROR(__xludf.DUMMYFUNCTION("""COMPUTED_VALUE"""),"HTL Wiener Neustadt")</f>
        <v>HTL Wiener Neustadt</v>
      </c>
    </row>
    <row r="9">
      <c r="A9" s="3" t="str">
        <f>IFERROR(__xludf.DUMMYFUNCTION("""COMPUTED_VALUE"""),"25-0604")</f>
        <v>25-0604</v>
      </c>
      <c r="B9" s="3" t="str">
        <f>IFERROR(__xludf.DUMMYFUNCTION("""COMPUTED_VALUE"""),"SKP - Skilled Penguins")</f>
        <v>SKP - Skilled Penguins</v>
      </c>
      <c r="C9" s="3" t="str">
        <f>IFERROR(__xludf.DUMMYFUNCTION("""COMPUTED_VALUE"""),"Austria")</f>
        <v>Austria</v>
      </c>
      <c r="D9" s="3" t="str">
        <f>IFERROR(__xludf.DUMMYFUNCTION("""COMPUTED_VALUE"""),"HTL St. Pölten")</f>
        <v>HTL St. Pölten</v>
      </c>
    </row>
    <row r="10">
      <c r="A10" s="3" t="str">
        <f>IFERROR(__xludf.DUMMYFUNCTION("""COMPUTED_VALUE"""),"25-0617")</f>
        <v>25-0617</v>
      </c>
      <c r="B10" s="3" t="str">
        <f>IFERROR(__xludf.DUMMYFUNCTION("""COMPUTED_VALUE"""),"Venti")</f>
        <v>Venti</v>
      </c>
      <c r="C10" s="3" t="str">
        <f>IFERROR(__xludf.DUMMYFUNCTION("""COMPUTED_VALUE"""),"Austria")</f>
        <v>Austria</v>
      </c>
      <c r="D10" s="3" t="str">
        <f>IFERROR(__xludf.DUMMYFUNCTION("""COMPUTED_VALUE"""),"TGM")</f>
        <v>TGM</v>
      </c>
    </row>
    <row r="11">
      <c r="A11" s="3" t="str">
        <f>IFERROR(__xludf.DUMMYFUNCTION("""COMPUTED_VALUE"""),"25-0622")</f>
        <v>25-0622</v>
      </c>
      <c r="B11" s="3" t="str">
        <f>IFERROR(__xludf.DUMMYFUNCTION("""COMPUTED_VALUE"""),"Kukuk")</f>
        <v>Kukuk</v>
      </c>
      <c r="C11" s="3" t="str">
        <f>IFERROR(__xludf.DUMMYFUNCTION("""COMPUTED_VALUE"""),"Austria")</f>
        <v>Austria</v>
      </c>
      <c r="D11" s="3" t="str">
        <f>IFERROR(__xludf.DUMMYFUNCTION("""COMPUTED_VALUE"""),"HTL Dornbirn")</f>
        <v>HTL Dornbirn</v>
      </c>
    </row>
    <row r="12">
      <c r="A12" s="3" t="str">
        <f>IFERROR(__xludf.DUMMYFUNCTION("""COMPUTED_VALUE"""),"25-0623")</f>
        <v>25-0623</v>
      </c>
      <c r="B12" s="3" t="str">
        <f>IFERROR(__xludf.DUMMYFUNCTION("""COMPUTED_VALUE"""),"Machinarium")</f>
        <v>Machinarium</v>
      </c>
      <c r="C12" s="3" t="str">
        <f>IFERROR(__xludf.DUMMYFUNCTION("""COMPUTED_VALUE"""),"Austria")</f>
        <v>Austria</v>
      </c>
      <c r="D12" s="3" t="str">
        <f>IFERROR(__xludf.DUMMYFUNCTION("""COMPUTED_VALUE"""),"HTL Wien West")</f>
        <v>HTL Wien West</v>
      </c>
    </row>
    <row r="13">
      <c r="A13" s="3" t="str">
        <f>IFERROR(__xludf.DUMMYFUNCTION("""COMPUTED_VALUE"""),"25-0625")</f>
        <v>25-0625</v>
      </c>
      <c r="B13" s="3" t="str">
        <f>IFERROR(__xludf.DUMMYFUNCTION("""COMPUTED_VALUE"""),"NotImplementedException")</f>
        <v>NotImplementedException</v>
      </c>
      <c r="C13" s="3" t="str">
        <f>IFERROR(__xludf.DUMMYFUNCTION("""COMPUTED_VALUE"""),"Austria")</f>
        <v>Austria</v>
      </c>
      <c r="D13" s="3" t="str">
        <f>IFERROR(__xludf.DUMMYFUNCTION("""COMPUTED_VALUE"""),"Linzer Technikum")</f>
        <v>Linzer Technikum</v>
      </c>
    </row>
    <row r="14">
      <c r="A14" s="3" t="str">
        <f>IFERROR(__xludf.DUMMYFUNCTION("""COMPUTED_VALUE"""),"25-0628")</f>
        <v>25-0628</v>
      </c>
      <c r="B14" s="3" t="str">
        <f>IFERROR(__xludf.DUMMYFUNCTION("""COMPUTED_VALUE"""),"LiTec-ME")</f>
        <v>LiTec-ME</v>
      </c>
      <c r="C14" s="3" t="str">
        <f>IFERROR(__xludf.DUMMYFUNCTION("""COMPUTED_VALUE"""),"Austria")</f>
        <v>Austria</v>
      </c>
      <c r="D14" s="3" t="str">
        <f>IFERROR(__xludf.DUMMYFUNCTION("""COMPUTED_VALUE"""),"Linzer Technikum")</f>
        <v>Linzer Technikum</v>
      </c>
    </row>
    <row r="15">
      <c r="A15" s="3" t="str">
        <f>IFERROR(__xludf.DUMMYFUNCTION("""COMPUTED_VALUE"""),"25-0633")</f>
        <v>25-0633</v>
      </c>
      <c r="B15" s="3" t="str">
        <f>IFERROR(__xludf.DUMMYFUNCTION("""COMPUTED_VALUE"""),"100Sachen80")</f>
        <v>100Sachen80</v>
      </c>
      <c r="C15" s="3" t="str">
        <f>IFERROR(__xludf.DUMMYFUNCTION("""COMPUTED_VALUE"""),"Austria")</f>
        <v>Austria</v>
      </c>
      <c r="D15" s="3" t="str">
        <f>IFERROR(__xludf.DUMMYFUNCTION("""COMPUTED_VALUE"""),"HTL Wien West")</f>
        <v>HTL Wien West</v>
      </c>
    </row>
    <row r="16">
      <c r="A16" s="3" t="str">
        <f>IFERROR(__xludf.DUMMYFUNCTION("""COMPUTED_VALUE"""),"25-0635")</f>
        <v>25-0635</v>
      </c>
      <c r="B16" s="3" t="str">
        <f>IFERROR(__xludf.DUMMYFUNCTION("""COMPUTED_VALUE"""),"AXHT 3085/3")</f>
        <v>AXHT 3085/3</v>
      </c>
      <c r="C16" s="3" t="str">
        <f>IFERROR(__xludf.DUMMYFUNCTION("""COMPUTED_VALUE"""),"Austria")</f>
        <v>Austria</v>
      </c>
      <c r="D16" s="3" t="str">
        <f>IFERROR(__xludf.DUMMYFUNCTION("""COMPUTED_VALUE"""),"HTL St. Pölten")</f>
        <v>HTL St. Pölten</v>
      </c>
    </row>
    <row r="17">
      <c r="A17" s="3" t="str">
        <f>IFERROR(__xludf.DUMMYFUNCTION("""COMPUTED_VALUE"""),"25-0640")</f>
        <v>25-0640</v>
      </c>
      <c r="B17" s="3" t="str">
        <f>IFERROR(__xludf.DUMMYFUNCTION("""COMPUTED_VALUE"""),"HTL St. Johann")</f>
        <v>HTL St. Johann</v>
      </c>
      <c r="C17" s="3" t="str">
        <f>IFERROR(__xludf.DUMMYFUNCTION("""COMPUTED_VALUE"""),"Austria")</f>
        <v>Austria</v>
      </c>
      <c r="D17" s="3" t="str">
        <f>IFERROR(__xludf.DUMMYFUNCTION("""COMPUTED_VALUE"""),"HTL St. Johann")</f>
        <v>HTL St. Johann</v>
      </c>
    </row>
    <row r="18">
      <c r="A18" s="3" t="str">
        <f>IFERROR(__xludf.DUMMYFUNCTION("""COMPUTED_VALUE"""),"25-0663")</f>
        <v>25-0663</v>
      </c>
      <c r="B18" s="3" t="str">
        <f>IFERROR(__xludf.DUMMYFUNCTION("""COMPUTED_VALUE"""),"Titan")</f>
        <v>Titan</v>
      </c>
      <c r="C18" s="3" t="str">
        <f>IFERROR(__xludf.DUMMYFUNCTION("""COMPUTED_VALUE"""),"China")</f>
        <v>China</v>
      </c>
      <c r="D18" s="3" t="str">
        <f>IFERROR(__xludf.DUMMYFUNCTION("""COMPUTED_VALUE"""),"TAIJIA")</f>
        <v>TAIJIA</v>
      </c>
    </row>
    <row r="20">
      <c r="A20" s="2" t="s">
        <v>0</v>
      </c>
      <c r="B20" s="2" t="s">
        <v>1</v>
      </c>
      <c r="C20" s="2" t="s">
        <v>2</v>
      </c>
      <c r="D20" s="2" t="s">
        <v>3</v>
      </c>
    </row>
    <row r="21">
      <c r="A21" s="3" t="str">
        <f>IFERROR(__xludf.DUMMYFUNCTION("IMPORTRANGE(""https://docs.google.com/spreadsheets/d/1r4f38kmCy0wFTzoBJwABhAVM6gbEPwv1HgEiFItNXjY/"", ""Open"")"),"OP-0047")</f>
        <v>OP-0047</v>
      </c>
      <c r="B21" s="3" t="str">
        <f>IFERROR(__xludf.DUMMYFUNCTION("""COMPUTED_VALUE"""),"Pfusch am Bot")</f>
        <v>Pfusch am Bot</v>
      </c>
      <c r="C21" s="3" t="str">
        <f>IFERROR(__xludf.DUMMYFUNCTION("""COMPUTED_VALUE"""),"Austria")</f>
        <v>Austria</v>
      </c>
      <c r="D21" s="3" t="str">
        <f>IFERROR(__xludf.DUMMYFUNCTION("""COMPUTED_VALUE"""),"HTL St. Pölten")</f>
        <v>HTL St. Pölten</v>
      </c>
      <c r="E21" s="1"/>
    </row>
    <row r="22">
      <c r="A22" s="4" t="str">
        <f>IFERROR(__xludf.DUMMYFUNCTION("""COMPUTED_VALUE"""),"OP-0055")</f>
        <v>OP-0055</v>
      </c>
      <c r="B22" s="3" t="str">
        <f>IFERROR(__xludf.DUMMYFUNCTION("""COMPUTED_VALUE"""),"French Bakery")</f>
        <v>French Bakery</v>
      </c>
      <c r="C22" s="3" t="str">
        <f>IFERROR(__xludf.DUMMYFUNCTION("""COMPUTED_VALUE"""),"Austria")</f>
        <v>Austria</v>
      </c>
      <c r="D22" s="3" t="str">
        <f>IFERROR(__xludf.DUMMYFUNCTION("""COMPUTED_VALUE"""),"HTL Anichstraße")</f>
        <v>HTL Anichstraße</v>
      </c>
      <c r="E22" s="1"/>
    </row>
    <row r="23">
      <c r="A23" s="3" t="str">
        <f>IFERROR(__xludf.DUMMYFUNCTION("""COMPUTED_VALUE"""),"OP-0057")</f>
        <v>OP-0057</v>
      </c>
      <c r="B23" s="3" t="str">
        <f>IFERROR(__xludf.DUMMYFUNCTION("""COMPUTED_VALUE"""),"Mendeljeff")</f>
        <v>Mendeljeff</v>
      </c>
      <c r="C23" s="3" t="str">
        <f>IFERROR(__xludf.DUMMYFUNCTION("""COMPUTED_VALUE"""),"Austria")</f>
        <v>Austria</v>
      </c>
      <c r="D23" s="3" t="str">
        <f>IFERROR(__xludf.DUMMYFUNCTION("""COMPUTED_VALUE"""),"HTL Wiener Neustadt")</f>
        <v>HTL Wiener Neustadt</v>
      </c>
      <c r="E23" s="5"/>
    </row>
    <row r="24">
      <c r="A24" s="3" t="str">
        <f>IFERROR(__xludf.DUMMYFUNCTION("""COMPUTED_VALUE"""),"OP-0058")</f>
        <v>OP-0058</v>
      </c>
      <c r="B24" s="3" t="str">
        <f>IFERROR(__xludf.DUMMYFUNCTION("""COMPUTED_VALUE"""),"Cheese Wizards")</f>
        <v>Cheese Wizards</v>
      </c>
      <c r="C24" s="3" t="str">
        <f>IFERROR(__xludf.DUMMYFUNCTION("""COMPUTED_VALUE"""),"Austria")</f>
        <v>Austria</v>
      </c>
      <c r="D24" s="3" t="str">
        <f>IFERROR(__xludf.DUMMYFUNCTION("""COMPUTED_VALUE"""),"HTL Wiener Neustadt")</f>
        <v>HTL Wiener Neustadt</v>
      </c>
      <c r="E24" s="5"/>
    </row>
    <row r="25">
      <c r="A25" s="3" t="str">
        <f>IFERROR(__xludf.DUMMYFUNCTION("""COMPUTED_VALUE"""),"OP-0059")</f>
        <v>OP-0059</v>
      </c>
      <c r="B25" s="3" t="str">
        <f>IFERROR(__xludf.DUMMYFUNCTION("""COMPUTED_VALUE"""),"Snackkarotten")</f>
        <v>Snackkarotten</v>
      </c>
      <c r="C25" s="3" t="str">
        <f>IFERROR(__xludf.DUMMYFUNCTION("""COMPUTED_VALUE"""),"Austria")</f>
        <v>Austria</v>
      </c>
      <c r="D25" s="3" t="str">
        <f>IFERROR(__xludf.DUMMYFUNCTION("""COMPUTED_VALUE"""),"HTL St. Pölten")</f>
        <v>HTL St. Pölten</v>
      </c>
      <c r="E25" s="1"/>
    </row>
    <row r="26">
      <c r="A26" s="3" t="str">
        <f>IFERROR(__xludf.DUMMYFUNCTION("""COMPUTED_VALUE"""),"OP-0060")</f>
        <v>OP-0060</v>
      </c>
      <c r="B26" s="3" t="str">
        <f>IFERROR(__xludf.DUMMYFUNCTION("""COMPUTED_VALUE"""),"GGOpen")</f>
        <v>GGOpen</v>
      </c>
      <c r="C26" s="3" t="str">
        <f>IFERROR(__xludf.DUMMYFUNCTION("""COMPUTED_VALUE"""),"Poland")</f>
        <v>Poland</v>
      </c>
      <c r="D26" s="3" t="str">
        <f>IFERROR(__xludf.DUMMYFUNCTION("""COMPUTED_VALUE"""),"Franciszek Leja State School")</f>
        <v>Franciszek Leja State School</v>
      </c>
      <c r="E26" s="1"/>
    </row>
    <row r="28">
      <c r="A28" s="2" t="s">
        <v>0</v>
      </c>
      <c r="B28" s="2" t="s">
        <v>1</v>
      </c>
      <c r="C28" s="2" t="s">
        <v>2</v>
      </c>
      <c r="D28" s="2" t="s">
        <v>3</v>
      </c>
    </row>
    <row r="29">
      <c r="A29" s="3" t="str">
        <f>IFERROR(__xludf.DUMMYFUNCTION("IMPORTRANGE(""https://docs.google.com/spreadsheets/d/1r4f38kmCy0wFTzoBJwABhAVM6gbEPwv1HgEiFItNXjY/"", ""Aerial"")"),"AE-0002")</f>
        <v>AE-0002</v>
      </c>
      <c r="B29" s="3" t="str">
        <f>IFERROR(__xludf.DUMMYFUNCTION("""COMPUTED_VALUE"""),"Flying Hirsch")</f>
        <v>Flying Hirsch</v>
      </c>
      <c r="C29" s="6" t="str">
        <f>IFERROR(__xludf.DUMMYFUNCTION("""COMPUTED_VALUE"""),"Austria")</f>
        <v>Austria</v>
      </c>
      <c r="D29" s="3" t="str">
        <f>IFERROR(__xludf.DUMMYFUNCTION("""COMPUTED_VALUE"""),"HTL Wiener Neustadt / robo4you")</f>
        <v>HTL Wiener Neustadt / robo4you</v>
      </c>
    </row>
    <row r="30">
      <c r="A30" s="3" t="str">
        <f>IFERROR(__xludf.DUMMYFUNCTION("""COMPUTED_VALUE"""),"AE-0005")</f>
        <v>AE-0005</v>
      </c>
      <c r="B30" s="3" t="str">
        <f>IFERROR(__xludf.DUMMYFUNCTION("""COMPUTED_VALUE"""),"SkilledFighters")</f>
        <v>SkilledFighters</v>
      </c>
      <c r="C30" s="7" t="str">
        <f>IFERROR(__xludf.DUMMYFUNCTION("""COMPUTED_VALUE"""),"Austria")</f>
        <v>Austria</v>
      </c>
      <c r="D30" s="3" t="str">
        <f>IFERROR(__xludf.DUMMYFUNCTION("""COMPUTED_VALUE"""),"NöMS Ebenfurth")</f>
        <v>NöMS Ebenfurth</v>
      </c>
    </row>
    <row r="31">
      <c r="A31" s="3" t="str">
        <f>IFERROR(__xludf.DUMMYFUNCTION("""COMPUTED_VALUE"""),"AE-0006")</f>
        <v>AE-0006</v>
      </c>
      <c r="B31" s="3" t="str">
        <f>IFERROR(__xludf.DUMMYFUNCTION("""COMPUTED_VALUE"""),"Die Dronaten")</f>
        <v>Die Dronaten</v>
      </c>
      <c r="C31" s="6" t="str">
        <f>IFERROR(__xludf.DUMMYFUNCTION("""COMPUTED_VALUE"""),"Austria")</f>
        <v>Austria</v>
      </c>
      <c r="D31" s="3" t="str">
        <f>IFERROR(__xludf.DUMMYFUNCTION("""COMPUTED_VALUE"""),"NöMS Ebenfurth")</f>
        <v>NöMS Ebenfurth</v>
      </c>
    </row>
    <row r="32">
      <c r="A32" s="3" t="str">
        <f>IFERROR(__xludf.DUMMYFUNCTION("""COMPUTED_VALUE"""),"AE-0007")</f>
        <v>AE-0007</v>
      </c>
      <c r="B32" s="3" t="str">
        <f>IFERROR(__xludf.DUMMYFUNCTION("""COMPUTED_VALUE"""),"GGAerial")</f>
        <v>GGAerial</v>
      </c>
      <c r="C32" s="7" t="str">
        <f>IFERROR(__xludf.DUMMYFUNCTION("""COMPUTED_VALUE"""),"Poland")</f>
        <v>Poland</v>
      </c>
      <c r="D32" s="3" t="str">
        <f>IFERROR(__xludf.DUMMYFUNCTION("""COMPUTED_VALUE"""),"Franciszek Leja State School in Grodzisko Górne")</f>
        <v>Franciszek Leja State School in Grodzisko Górne</v>
      </c>
    </row>
    <row r="33">
      <c r="A33" s="3" t="str">
        <f>IFERROR(__xludf.DUMMYFUNCTION("""COMPUTED_VALUE"""),"AE-0008")</f>
        <v>AE-0008</v>
      </c>
      <c r="B33" s="3" t="str">
        <f>IFERROR(__xludf.DUMMYFUNCTION("""COMPUTED_VALUE"""),"Rieleck Prime")</f>
        <v>Rieleck Prime</v>
      </c>
      <c r="C33" s="6" t="str">
        <f>IFERROR(__xludf.DUMMYFUNCTION("""COMPUTED_VALUE"""),"Austria")</f>
        <v>Austria</v>
      </c>
      <c r="D33" s="3" t="str">
        <f>IFERROR(__xludf.DUMMYFUNCTION("""COMPUTED_VALUE"""),"HTL Wiener Neustadt / robo4you")</f>
        <v>HTL Wiener Neustadt / robo4you</v>
      </c>
    </row>
    <row r="34">
      <c r="A34" s="3" t="str">
        <f>IFERROR(__xludf.DUMMYFUNCTION("""COMPUTED_VALUE"""),"AE-0009")</f>
        <v>AE-0009</v>
      </c>
      <c r="B34" s="3" t="str">
        <f>IFERROR(__xludf.DUMMYFUNCTION("""COMPUTED_VALUE"""),"BRG Gröhrmühlgasse")</f>
        <v>BRG Gröhrmühlgasse</v>
      </c>
      <c r="C34" s="7" t="str">
        <f>IFERROR(__xludf.DUMMYFUNCTION("""COMPUTED_VALUE"""),"Austria")</f>
        <v>Austria</v>
      </c>
      <c r="D34" s="3" t="str">
        <f>IFERROR(__xludf.DUMMYFUNCTION("""COMPUTED_VALUE"""),"BRG Gröhrmühlgasse Wr. Neustadt")</f>
        <v>BRG Gröhrmühlgasse Wr. Neustadt</v>
      </c>
    </row>
    <row r="35">
      <c r="A35" s="3" t="str">
        <f>IFERROR(__xludf.DUMMYFUNCTION("""COMPUTED_VALUE"""),"AE-0010")</f>
        <v>AE-0010</v>
      </c>
      <c r="B35" s="3" t="str">
        <f>IFERROR(__xludf.DUMMYFUNCTION("""COMPUTED_VALUE"""),"CrazyDrone")</f>
        <v>CrazyDrone</v>
      </c>
      <c r="C35" s="6" t="str">
        <f>IFERROR(__xludf.DUMMYFUNCTION("""COMPUTED_VALUE"""),"Austria")</f>
        <v>Austria</v>
      </c>
      <c r="D35" s="3" t="str">
        <f>IFERROR(__xludf.DUMMYFUNCTION("""COMPUTED_VALUE"""),"NöMS Ebenfurth")</f>
        <v>NöMS Ebenfurth</v>
      </c>
    </row>
    <row r="36">
      <c r="A36" s="3" t="str">
        <f>IFERROR(__xludf.DUMMYFUNCTION("""COMPUTED_VALUE"""),"AE-0011")</f>
        <v>AE-0011</v>
      </c>
      <c r="B36" s="3" t="str">
        <f>IFERROR(__xludf.DUMMYFUNCTION("""COMPUTED_VALUE"""),"LAVAdrone")</f>
        <v>LAVAdrone</v>
      </c>
      <c r="C36" s="7" t="str">
        <f>IFERROR(__xludf.DUMMYFUNCTION("""COMPUTED_VALUE"""),"Austria")</f>
        <v>Austria</v>
      </c>
      <c r="D36" s="3" t="str">
        <f>IFERROR(__xludf.DUMMYFUNCTION("""COMPUTED_VALUE"""),"NöMS Ebenfurth")</f>
        <v>NöMS Ebenfurth</v>
      </c>
    </row>
    <row r="37">
      <c r="A37" s="3" t="str">
        <f>IFERROR(__xludf.DUMMYFUNCTION("""COMPUTED_VALUE"""),"AE-0012")</f>
        <v>AE-0012</v>
      </c>
      <c r="B37" s="3" t="str">
        <f>IFERROR(__xludf.DUMMYFUNCTION("""COMPUTED_VALUE"""),"TGM Arial")</f>
        <v>TGM Arial</v>
      </c>
      <c r="C37" s="3" t="str">
        <f>IFERROR(__xludf.DUMMYFUNCTION("""COMPUTED_VALUE"""),"Austria")</f>
        <v>Austria</v>
      </c>
      <c r="D37" s="3" t="str">
        <f>IFERROR(__xludf.DUMMYFUNCTION("""COMPUTED_VALUE"""),"TGM")</f>
        <v>TGM</v>
      </c>
    </row>
    <row r="38">
      <c r="A38" s="8"/>
      <c r="B38" s="8"/>
      <c r="C38" s="8"/>
      <c r="D38" s="8"/>
    </row>
    <row r="39">
      <c r="A39" s="2" t="s">
        <v>0</v>
      </c>
      <c r="B39" s="2" t="s">
        <v>1</v>
      </c>
      <c r="C39" s="2" t="s">
        <v>2</v>
      </c>
      <c r="D39" s="2" t="s">
        <v>3</v>
      </c>
    </row>
    <row r="40">
      <c r="A40" s="3" t="str">
        <f>IFERROR(__xludf.DUMMYFUNCTION("IMPORTRANGE(""https://docs.google.com/spreadsheets/d/1r4f38kmCy0wFTzoBJwABhAVM6gbEPwv1HgEiFItNXjY/"", ""Junior Botball Challenge"")"),"JBC-001")</f>
        <v>JBC-001</v>
      </c>
      <c r="B40" s="3" t="str">
        <f>IFERROR(__xludf.DUMMYFUNCTION("""COMPUTED_VALUE"""),"Saalfelden LuviBotblitz")</f>
        <v>Saalfelden LuviBotblitz</v>
      </c>
      <c r="C40" s="3" t="str">
        <f>IFERROR(__xludf.DUMMYFUNCTION("""COMPUTED_VALUE"""),"Austria")</f>
        <v>Austria</v>
      </c>
      <c r="D40" s="3"/>
    </row>
    <row r="41">
      <c r="A41" s="3" t="str">
        <f>IFERROR(__xludf.DUMMYFUNCTION("""COMPUTED_VALUE"""),"JBC-002")</f>
        <v>JBC-002</v>
      </c>
      <c r="B41" s="3" t="str">
        <f>IFERROR(__xludf.DUMMYFUNCTION("""COMPUTED_VALUE"""),"Table")</f>
        <v>Table</v>
      </c>
      <c r="C41" s="3" t="str">
        <f>IFERROR(__xludf.DUMMYFUNCTION("""COMPUTED_VALUE"""),"Austria")</f>
        <v>Austria</v>
      </c>
      <c r="D41" s="3"/>
    </row>
    <row r="42">
      <c r="A42" s="3" t="str">
        <f>IFERROR(__xludf.DUMMYFUNCTION("""COMPUTED_VALUE"""),"JBC-003")</f>
        <v>JBC-003</v>
      </c>
      <c r="B42" s="3" t="str">
        <f>IFERROR(__xludf.DUMMYFUNCTION("""COMPUTED_VALUE"""),"Team 3b")</f>
        <v>Team 3b</v>
      </c>
      <c r="C42" s="3" t="str">
        <f>IFERROR(__xludf.DUMMYFUNCTION("""COMPUTED_VALUE"""),"Austria")</f>
        <v>Austria</v>
      </c>
      <c r="D42" s="3"/>
    </row>
    <row r="43">
      <c r="A43" s="8"/>
      <c r="B43" s="8"/>
      <c r="C43" s="8"/>
      <c r="D43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24" width="7.63"/>
    <col customWidth="1" min="25" max="25" width="5.25"/>
  </cols>
  <sheetData>
    <row r="1">
      <c r="A1" s="9"/>
      <c r="B1" s="9"/>
      <c r="C1" s="9"/>
      <c r="D1" s="9"/>
      <c r="E1" s="9"/>
      <c r="F1" s="9"/>
      <c r="G1" s="10"/>
      <c r="H1" s="11"/>
      <c r="I1" s="12"/>
      <c r="J1" s="10"/>
      <c r="K1" s="11"/>
      <c r="L1" s="11"/>
      <c r="M1" s="11"/>
      <c r="N1" s="11"/>
      <c r="O1" s="10"/>
      <c r="P1" s="11"/>
      <c r="Q1" s="11"/>
      <c r="R1" s="11"/>
      <c r="S1" s="13"/>
      <c r="T1" s="11"/>
      <c r="U1" s="11"/>
      <c r="V1" s="10"/>
      <c r="W1" s="11"/>
      <c r="X1" s="10"/>
    </row>
    <row r="2" ht="90.75" customHeight="1">
      <c r="A2" s="14" t="s">
        <v>0</v>
      </c>
      <c r="B2" s="14" t="s">
        <v>1</v>
      </c>
      <c r="C2" s="15" t="s">
        <v>4</v>
      </c>
      <c r="D2" s="14" t="s">
        <v>5</v>
      </c>
      <c r="E2" s="14" t="s">
        <v>6</v>
      </c>
      <c r="F2" s="15" t="s">
        <v>7</v>
      </c>
      <c r="G2" s="16" t="s">
        <v>8</v>
      </c>
      <c r="H2" s="17" t="s">
        <v>9</v>
      </c>
      <c r="I2" s="18" t="s">
        <v>10</v>
      </c>
      <c r="J2" s="19" t="s">
        <v>11</v>
      </c>
      <c r="K2" s="20" t="s">
        <v>12</v>
      </c>
      <c r="L2" s="17" t="s">
        <v>13</v>
      </c>
      <c r="M2" s="21" t="s">
        <v>14</v>
      </c>
      <c r="N2" s="21" t="s">
        <v>15</v>
      </c>
      <c r="O2" s="16" t="s">
        <v>16</v>
      </c>
      <c r="P2" s="21" t="s">
        <v>17</v>
      </c>
      <c r="Q2" s="17" t="s">
        <v>18</v>
      </c>
      <c r="R2" s="17" t="s">
        <v>19</v>
      </c>
      <c r="S2" s="17" t="s">
        <v>20</v>
      </c>
      <c r="T2" s="21" t="s">
        <v>21</v>
      </c>
      <c r="U2" s="17" t="s">
        <v>22</v>
      </c>
      <c r="V2" s="16" t="s">
        <v>23</v>
      </c>
      <c r="W2" s="21" t="s">
        <v>24</v>
      </c>
      <c r="X2" s="16" t="s">
        <v>25</v>
      </c>
    </row>
    <row r="3">
      <c r="A3" s="3" t="str">
        <f>IFERROR(__xludf.DUMMYFUNCTION("IMPORTRANGE(""https://docs.google.com/spreadsheets/d/1r4f38kmCy0wFTzoBJwABhAVM6gbEPwv1HgEiFItNXjY/"", ""Botball Scores"")"),"25-0604")</f>
        <v>25-0604</v>
      </c>
      <c r="B3" s="22" t="str">
        <f>IFERROR(__xludf.DUMMYFUNCTION("""COMPUTED_VALUE"""),"SKP - Skilled Penguins")</f>
        <v>SKP - Skilled Penguins</v>
      </c>
      <c r="C3" s="23">
        <f>IFERROR(__xludf.DUMMYFUNCTION("""COMPUTED_VALUE"""),149.0)</f>
        <v>149</v>
      </c>
      <c r="D3" s="24">
        <f>IFERROR(__xludf.DUMMYFUNCTION("""COMPUTED_VALUE"""),289.0)</f>
        <v>289</v>
      </c>
      <c r="E3" s="24">
        <f>IFERROR(__xludf.DUMMYFUNCTION("""COMPUTED_VALUE"""),518.0)</f>
        <v>518</v>
      </c>
      <c r="F3" s="25">
        <f>IFERROR(__xludf.DUMMYFUNCTION("""COMPUTED_VALUE"""),403.5)</f>
        <v>403.5</v>
      </c>
      <c r="G3" s="26">
        <f>IFERROR(__xludf.DUMMYFUNCTION("""COMPUTED_VALUE"""),1.0)</f>
        <v>1</v>
      </c>
      <c r="H3" s="27">
        <f>IFERROR(__xludf.DUMMYFUNCTION("""COMPUTED_VALUE"""),0.9175664451827242)</f>
        <v>0.9175664452</v>
      </c>
      <c r="I3" s="23" t="str">
        <f>IFERROR(__xludf.DUMMYFUNCTION("""COMPUTED_VALUE"""),"A")</f>
        <v>A</v>
      </c>
      <c r="J3" s="28">
        <f>IFERROR(__xludf.DUMMYFUNCTION("""COMPUTED_VALUE"""),1.0)</f>
        <v>1</v>
      </c>
      <c r="K3" s="29">
        <f>IFERROR(__xludf.DUMMYFUNCTION("""COMPUTED_VALUE"""),1.0)</f>
        <v>1</v>
      </c>
      <c r="L3" s="29">
        <f>IFERROR(__xludf.DUMMYFUNCTION("""COMPUTED_VALUE"""),1.0)</f>
        <v>1</v>
      </c>
      <c r="M3" s="30">
        <f>IFERROR(__xludf.DUMMYFUNCTION("""COMPUTED_VALUE"""),73.0)</f>
        <v>73</v>
      </c>
      <c r="N3" s="31">
        <f>IFERROR(__xludf.DUMMYFUNCTION("""COMPUTED_VALUE"""),0.73)</f>
        <v>0.73</v>
      </c>
      <c r="O3" s="26">
        <f>IFERROR(__xludf.DUMMYFUNCTION("""COMPUTED_VALUE"""),7.0)</f>
        <v>7</v>
      </c>
      <c r="P3" s="23">
        <f>IFERROR(__xludf.DUMMYFUNCTION("""COMPUTED_VALUE"""),100.0)</f>
        <v>100</v>
      </c>
      <c r="Q3" s="24">
        <f>IFERROR(__xludf.DUMMYFUNCTION("""COMPUTED_VALUE"""),100.0)</f>
        <v>100</v>
      </c>
      <c r="R3" s="24">
        <f>IFERROR(__xludf.DUMMYFUNCTION("""COMPUTED_VALUE"""),100.0)</f>
        <v>100</v>
      </c>
      <c r="S3" s="32"/>
      <c r="T3" s="31">
        <f>IFERROR(__xludf.DUMMYFUNCTION("""COMPUTED_VALUE"""),1.0)</f>
        <v>1</v>
      </c>
      <c r="U3" s="27">
        <f>IFERROR(__xludf.DUMMYFUNCTION("""COMPUTED_VALUE"""),0.865)</f>
        <v>0.865</v>
      </c>
      <c r="V3" s="26">
        <f>IFERROR(__xludf.DUMMYFUNCTION("""COMPUTED_VALUE"""),5.0)</f>
        <v>5</v>
      </c>
      <c r="W3" s="31">
        <f>IFERROR(__xludf.DUMMYFUNCTION("""COMPUTED_VALUE"""),2.7825664451827246)</f>
        <v>2.782566445</v>
      </c>
      <c r="X3" s="26">
        <f>IFERROR(__xludf.DUMMYFUNCTION("""COMPUTED_VALUE"""),1.0)</f>
        <v>1</v>
      </c>
    </row>
    <row r="4">
      <c r="A4" s="3" t="str">
        <f>IFERROR(__xludf.DUMMYFUNCTION("""COMPUTED_VALUE"""),"25-0635")</f>
        <v>25-0635</v>
      </c>
      <c r="B4" s="22" t="str">
        <f>IFERROR(__xludf.DUMMYFUNCTION("""COMPUTED_VALUE"""),"AXHT 3085/3")</f>
        <v>AXHT 3085/3</v>
      </c>
      <c r="C4" s="23">
        <f>IFERROR(__xludf.DUMMYFUNCTION("""COMPUTED_VALUE"""),602.0)</f>
        <v>602</v>
      </c>
      <c r="D4" s="24">
        <f>IFERROR(__xludf.DUMMYFUNCTION("""COMPUTED_VALUE"""),18.0)</f>
        <v>18</v>
      </c>
      <c r="E4" s="24">
        <f>IFERROR(__xludf.DUMMYFUNCTION("""COMPUTED_VALUE"""),18.0)</f>
        <v>18</v>
      </c>
      <c r="F4" s="25">
        <f>IFERROR(__xludf.DUMMYFUNCTION("""COMPUTED_VALUE"""),310.0)</f>
        <v>310</v>
      </c>
      <c r="G4" s="26">
        <f>IFERROR(__xludf.DUMMYFUNCTION("""COMPUTED_VALUE"""),3.0)</f>
        <v>3</v>
      </c>
      <c r="H4" s="27">
        <f>IFERROR(__xludf.DUMMYFUNCTION("""COMPUTED_VALUE"""),0.7849875415282392)</f>
        <v>0.7849875415</v>
      </c>
      <c r="I4" s="23" t="str">
        <f>IFERROR(__xludf.DUMMYFUNCTION("""COMPUTED_VALUE"""),"A")</f>
        <v>A</v>
      </c>
      <c r="J4" s="28">
        <f>IFERROR(__xludf.DUMMYFUNCTION("""COMPUTED_VALUE"""),3.0)</f>
        <v>3</v>
      </c>
      <c r="K4" s="29">
        <f>IFERROR(__xludf.DUMMYFUNCTION("""COMPUTED_VALUE"""),0.7142857142857143)</f>
        <v>0.7142857143</v>
      </c>
      <c r="L4" s="29">
        <f>IFERROR(__xludf.DUMMYFUNCTION("""COMPUTED_VALUE"""),0.7142857142857143)</f>
        <v>0.7142857143</v>
      </c>
      <c r="M4" s="30">
        <f>IFERROR(__xludf.DUMMYFUNCTION("""COMPUTED_VALUE"""),100.0)</f>
        <v>100</v>
      </c>
      <c r="N4" s="31">
        <f>IFERROR(__xludf.DUMMYFUNCTION("""COMPUTED_VALUE"""),1.0)</f>
        <v>1</v>
      </c>
      <c r="O4" s="26">
        <f>IFERROR(__xludf.DUMMYFUNCTION("""COMPUTED_VALUE"""),1.0)</f>
        <v>1</v>
      </c>
      <c r="P4" s="23">
        <f>IFERROR(__xludf.DUMMYFUNCTION("""COMPUTED_VALUE"""),98.0)</f>
        <v>98</v>
      </c>
      <c r="Q4" s="24">
        <f>IFERROR(__xludf.DUMMYFUNCTION("""COMPUTED_VALUE"""),100.0)</f>
        <v>100</v>
      </c>
      <c r="R4" s="24">
        <f>IFERROR(__xludf.DUMMYFUNCTION("""COMPUTED_VALUE"""),100.0)</f>
        <v>100</v>
      </c>
      <c r="S4" s="32"/>
      <c r="T4" s="31">
        <f>IFERROR(__xludf.DUMMYFUNCTION("""COMPUTED_VALUE"""),0.9933333333333332)</f>
        <v>0.9933333333</v>
      </c>
      <c r="U4" s="27">
        <f>IFERROR(__xludf.DUMMYFUNCTION("""COMPUTED_VALUE"""),0.9966666666666666)</f>
        <v>0.9966666667</v>
      </c>
      <c r="V4" s="26">
        <f>IFERROR(__xludf.DUMMYFUNCTION("""COMPUTED_VALUE"""),1.0)</f>
        <v>1</v>
      </c>
      <c r="W4" s="31">
        <f>IFERROR(__xludf.DUMMYFUNCTION("""COMPUTED_VALUE"""),2.4959399224806202)</f>
        <v>2.495939922</v>
      </c>
      <c r="X4" s="26">
        <f>IFERROR(__xludf.DUMMYFUNCTION("""COMPUTED_VALUE"""),2.0)</f>
        <v>2</v>
      </c>
    </row>
    <row r="5">
      <c r="A5" s="3" t="str">
        <f>IFERROR(__xludf.DUMMYFUNCTION("""COMPUTED_VALUE"""),"25-0625")</f>
        <v>25-0625</v>
      </c>
      <c r="B5" s="22" t="str">
        <f>IFERROR(__xludf.DUMMYFUNCTION("""COMPUTED_VALUE"""),"NotImplementedException")</f>
        <v>NotImplementedException</v>
      </c>
      <c r="C5" s="23">
        <f>IFERROR(__xludf.DUMMYFUNCTION("""COMPUTED_VALUE"""),35.0)</f>
        <v>35</v>
      </c>
      <c r="D5" s="24">
        <f>IFERROR(__xludf.DUMMYFUNCTION("""COMPUTED_VALUE"""),194.0)</f>
        <v>194</v>
      </c>
      <c r="E5" s="24">
        <f>IFERROR(__xludf.DUMMYFUNCTION("""COMPUTED_VALUE"""),514.0)</f>
        <v>514</v>
      </c>
      <c r="F5" s="25">
        <f>IFERROR(__xludf.DUMMYFUNCTION("""COMPUTED_VALUE"""),354.0)</f>
        <v>354</v>
      </c>
      <c r="G5" s="26">
        <f>IFERROR(__xludf.DUMMYFUNCTION("""COMPUTED_VALUE"""),2.0)</f>
        <v>2</v>
      </c>
      <c r="H5" s="27">
        <f>IFERROR(__xludf.DUMMYFUNCTION("""COMPUTED_VALUE"""),0.8501349667774086)</f>
        <v>0.8501349668</v>
      </c>
      <c r="I5" s="23" t="str">
        <f>IFERROR(__xludf.DUMMYFUNCTION("""COMPUTED_VALUE"""),"A")</f>
        <v>A</v>
      </c>
      <c r="J5" s="28">
        <f>IFERROR(__xludf.DUMMYFUNCTION("""COMPUTED_VALUE"""),2.0)</f>
        <v>2</v>
      </c>
      <c r="K5" s="29">
        <f>IFERROR(__xludf.DUMMYFUNCTION("""COMPUTED_VALUE"""),0.8571428571428572)</f>
        <v>0.8571428571</v>
      </c>
      <c r="L5" s="29">
        <f>IFERROR(__xludf.DUMMYFUNCTION("""COMPUTED_VALUE"""),0.8571428571428572)</f>
        <v>0.8571428571</v>
      </c>
      <c r="M5" s="30"/>
      <c r="N5" s="31">
        <f>IFERROR(__xludf.DUMMYFUNCTION("""COMPUTED_VALUE"""),0.0)</f>
        <v>0</v>
      </c>
      <c r="O5" s="26">
        <f>IFERROR(__xludf.DUMMYFUNCTION("""COMPUTED_VALUE"""),17.0)</f>
        <v>17</v>
      </c>
      <c r="P5" s="23">
        <f>IFERROR(__xludf.DUMMYFUNCTION("""COMPUTED_VALUE"""),69.0)</f>
        <v>69</v>
      </c>
      <c r="Q5" s="24">
        <f>IFERROR(__xludf.DUMMYFUNCTION("""COMPUTED_VALUE"""),100.0)</f>
        <v>100</v>
      </c>
      <c r="R5" s="24">
        <f>IFERROR(__xludf.DUMMYFUNCTION("""COMPUTED_VALUE"""),100.0)</f>
        <v>100</v>
      </c>
      <c r="S5" s="32"/>
      <c r="T5" s="31">
        <f>IFERROR(__xludf.DUMMYFUNCTION("""COMPUTED_VALUE"""),0.8966666666666665)</f>
        <v>0.8966666667</v>
      </c>
      <c r="U5" s="27">
        <f>IFERROR(__xludf.DUMMYFUNCTION("""COMPUTED_VALUE"""),0.44833333333333325)</f>
        <v>0.4483333333</v>
      </c>
      <c r="V5" s="26">
        <f>IFERROR(__xludf.DUMMYFUNCTION("""COMPUTED_VALUE"""),12.0)</f>
        <v>12</v>
      </c>
      <c r="W5" s="31">
        <f>IFERROR(__xludf.DUMMYFUNCTION("""COMPUTED_VALUE"""),2.155611157253599)</f>
        <v>2.155611157</v>
      </c>
      <c r="X5" s="26">
        <f>IFERROR(__xludf.DUMMYFUNCTION("""COMPUTED_VALUE"""),3.0)</f>
        <v>3</v>
      </c>
    </row>
    <row r="6">
      <c r="A6" s="3" t="str">
        <f>IFERROR(__xludf.DUMMYFUNCTION("""COMPUTED_VALUE"""),"25-0602")</f>
        <v>25-0602</v>
      </c>
      <c r="B6" s="22" t="str">
        <f>IFERROR(__xludf.DUMMYFUNCTION("""COMPUTED_VALUE"""),"F2P")</f>
        <v>F2P</v>
      </c>
      <c r="C6" s="23">
        <f>IFERROR(__xludf.DUMMYFUNCTION("""COMPUTED_VALUE"""),32.0)</f>
        <v>32</v>
      </c>
      <c r="D6" s="24">
        <f>IFERROR(__xludf.DUMMYFUNCTION("""COMPUTED_VALUE"""),44.0)</f>
        <v>44</v>
      </c>
      <c r="E6" s="24">
        <f>IFERROR(__xludf.DUMMYFUNCTION("""COMPUTED_VALUE"""),46.0)</f>
        <v>46</v>
      </c>
      <c r="F6" s="25">
        <f>IFERROR(__xludf.DUMMYFUNCTION("""COMPUTED_VALUE"""),45.0)</f>
        <v>45</v>
      </c>
      <c r="G6" s="26">
        <f>IFERROR(__xludf.DUMMYFUNCTION("""COMPUTED_VALUE"""),8.0)</f>
        <v>8</v>
      </c>
      <c r="H6" s="27">
        <f>IFERROR(__xludf.DUMMYFUNCTION("""COMPUTED_VALUE"""),0.44056270764119604)</f>
        <v>0.4405627076</v>
      </c>
      <c r="I6" s="23" t="str">
        <f>IFERROR(__xludf.DUMMYFUNCTION("""COMPUTED_VALUE"""),"B")</f>
        <v>B</v>
      </c>
      <c r="J6" s="28">
        <f>IFERROR(__xludf.DUMMYFUNCTION("""COMPUTED_VALUE"""),4.0)</f>
        <v>4</v>
      </c>
      <c r="K6" s="29">
        <f>IFERROR(__xludf.DUMMYFUNCTION("""COMPUTED_VALUE"""),0.6666666666666667)</f>
        <v>0.6666666667</v>
      </c>
      <c r="L6" s="29">
        <f>IFERROR(__xludf.DUMMYFUNCTION("""COMPUTED_VALUE"""),0.3789173789173789)</f>
        <v>0.3789173789</v>
      </c>
      <c r="M6" s="30">
        <f>IFERROR(__xludf.DUMMYFUNCTION("""COMPUTED_VALUE"""),92.0)</f>
        <v>92</v>
      </c>
      <c r="N6" s="31">
        <f>IFERROR(__xludf.DUMMYFUNCTION("""COMPUTED_VALUE"""),0.92)</f>
        <v>0.92</v>
      </c>
      <c r="O6" s="26">
        <f>IFERROR(__xludf.DUMMYFUNCTION("""COMPUTED_VALUE"""),3.0)</f>
        <v>3</v>
      </c>
      <c r="P6" s="23">
        <f>IFERROR(__xludf.DUMMYFUNCTION("""COMPUTED_VALUE"""),100.0)</f>
        <v>100</v>
      </c>
      <c r="Q6" s="24">
        <f>IFERROR(__xludf.DUMMYFUNCTION("""COMPUTED_VALUE"""),100.0)</f>
        <v>100</v>
      </c>
      <c r="R6" s="24">
        <f>IFERROR(__xludf.DUMMYFUNCTION("""COMPUTED_VALUE"""),100.0)</f>
        <v>100</v>
      </c>
      <c r="S6" s="32"/>
      <c r="T6" s="31">
        <f>IFERROR(__xludf.DUMMYFUNCTION("""COMPUTED_VALUE"""),1.0)</f>
        <v>1</v>
      </c>
      <c r="U6" s="27">
        <f>IFERROR(__xludf.DUMMYFUNCTION("""COMPUTED_VALUE"""),0.96)</f>
        <v>0.96</v>
      </c>
      <c r="V6" s="26">
        <f>IFERROR(__xludf.DUMMYFUNCTION("""COMPUTED_VALUE"""),3.0)</f>
        <v>3</v>
      </c>
      <c r="W6" s="31">
        <f>IFERROR(__xludf.DUMMYFUNCTION("""COMPUTED_VALUE"""),1.779480086558575)</f>
        <v>1.779480087</v>
      </c>
      <c r="X6" s="26">
        <f>IFERROR(__xludf.DUMMYFUNCTION("""COMPUTED_VALUE"""),4.0)</f>
        <v>4</v>
      </c>
    </row>
    <row r="7">
      <c r="A7" s="24" t="str">
        <f>IFERROR(__xludf.DUMMYFUNCTION("""COMPUTED_VALUE"""),"25-0188")</f>
        <v>25-0188</v>
      </c>
      <c r="B7" s="22" t="str">
        <f>IFERROR(__xludf.DUMMYFUNCTION("""COMPUTED_VALUE"""),"2nd place")</f>
        <v>2nd place</v>
      </c>
      <c r="C7" s="23">
        <f>IFERROR(__xludf.DUMMYFUNCTION("""COMPUTED_VALUE"""),17.0)</f>
        <v>17</v>
      </c>
      <c r="D7" s="24">
        <f>IFERROR(__xludf.DUMMYFUNCTION("""COMPUTED_VALUE"""),36.0)</f>
        <v>36</v>
      </c>
      <c r="E7" s="24">
        <f>IFERROR(__xludf.DUMMYFUNCTION("""COMPUTED_VALUE"""),8.0)</f>
        <v>8</v>
      </c>
      <c r="F7" s="25">
        <f>IFERROR(__xludf.DUMMYFUNCTION("""COMPUTED_VALUE"""),26.5)</f>
        <v>26.5</v>
      </c>
      <c r="G7" s="26">
        <f>IFERROR(__xludf.DUMMYFUNCTION("""COMPUTED_VALUE"""),11.0)</f>
        <v>11</v>
      </c>
      <c r="H7" s="27">
        <f>IFERROR(__xludf.DUMMYFUNCTION("""COMPUTED_VALUE"""),0.2922549833887043)</f>
        <v>0.2922549834</v>
      </c>
      <c r="I7" s="23" t="str">
        <f>IFERROR(__xludf.DUMMYFUNCTION("""COMPUTED_VALUE"""),"B")</f>
        <v>B</v>
      </c>
      <c r="J7" s="28">
        <f>IFERROR(__xludf.DUMMYFUNCTION("""COMPUTED_VALUE"""),2.0)</f>
        <v>2</v>
      </c>
      <c r="K7" s="29">
        <f>IFERROR(__xludf.DUMMYFUNCTION("""COMPUTED_VALUE"""),0.8888888888888888)</f>
        <v>0.8888888889</v>
      </c>
      <c r="L7" s="29">
        <f>IFERROR(__xludf.DUMMYFUNCTION("""COMPUTED_VALUE"""),0.5052231718898386)</f>
        <v>0.5052231719</v>
      </c>
      <c r="M7" s="30">
        <f>IFERROR(__xludf.DUMMYFUNCTION("""COMPUTED_VALUE"""),92.5)</f>
        <v>92.5</v>
      </c>
      <c r="N7" s="31">
        <f>IFERROR(__xludf.DUMMYFUNCTION("""COMPUTED_VALUE"""),0.925)</f>
        <v>0.925</v>
      </c>
      <c r="O7" s="26">
        <f>IFERROR(__xludf.DUMMYFUNCTION("""COMPUTED_VALUE"""),2.0)</f>
        <v>2</v>
      </c>
      <c r="P7" s="23">
        <f>IFERROR(__xludf.DUMMYFUNCTION("""COMPUTED_VALUE"""),100.0)</f>
        <v>100</v>
      </c>
      <c r="Q7" s="24">
        <f>IFERROR(__xludf.DUMMYFUNCTION("""COMPUTED_VALUE"""),100.0)</f>
        <v>100</v>
      </c>
      <c r="R7" s="24">
        <f>IFERROR(__xludf.DUMMYFUNCTION("""COMPUTED_VALUE"""),100.0)</f>
        <v>100</v>
      </c>
      <c r="S7" s="32"/>
      <c r="T7" s="31">
        <f>IFERROR(__xludf.DUMMYFUNCTION("""COMPUTED_VALUE"""),1.0)</f>
        <v>1</v>
      </c>
      <c r="U7" s="27">
        <f>IFERROR(__xludf.DUMMYFUNCTION("""COMPUTED_VALUE"""),0.9625)</f>
        <v>0.9625</v>
      </c>
      <c r="V7" s="26">
        <f>IFERROR(__xludf.DUMMYFUNCTION("""COMPUTED_VALUE"""),2.0)</f>
        <v>2</v>
      </c>
      <c r="W7" s="31">
        <f>IFERROR(__xludf.DUMMYFUNCTION("""COMPUTED_VALUE"""),1.7599781552785427)</f>
        <v>1.759978155</v>
      </c>
      <c r="X7" s="26">
        <f>IFERROR(__xludf.DUMMYFUNCTION("""COMPUTED_VALUE"""),5.0)</f>
        <v>5</v>
      </c>
    </row>
    <row r="8">
      <c r="A8" s="3" t="str">
        <f>IFERROR(__xludf.DUMMYFUNCTION("""COMPUTED_VALUE"""),"25-0538")</f>
        <v>25-0538</v>
      </c>
      <c r="B8" s="22" t="str">
        <f>IFERROR(__xludf.DUMMYFUNCTION("""COMPUTED_VALUE"""),"RoBo Masters")</f>
        <v>RoBo Masters</v>
      </c>
      <c r="C8" s="23">
        <f>IFERROR(__xludf.DUMMYFUNCTION("""COMPUTED_VALUE"""),44.0)</f>
        <v>44</v>
      </c>
      <c r="D8" s="24">
        <f>IFERROR(__xludf.DUMMYFUNCTION("""COMPUTED_VALUE"""),31.0)</f>
        <v>31</v>
      </c>
      <c r="E8" s="24">
        <f>IFERROR(__xludf.DUMMYFUNCTION("""COMPUTED_VALUE"""),15.0)</f>
        <v>15</v>
      </c>
      <c r="F8" s="25">
        <f>IFERROR(__xludf.DUMMYFUNCTION("""COMPUTED_VALUE"""),37.5)</f>
        <v>37.5</v>
      </c>
      <c r="G8" s="26">
        <f>IFERROR(__xludf.DUMMYFUNCTION("""COMPUTED_VALUE"""),9.0)</f>
        <v>9</v>
      </c>
      <c r="H8" s="27">
        <f>IFERROR(__xludf.DUMMYFUNCTION("""COMPUTED_VALUE"""),0.3905730897009967)</f>
        <v>0.3905730897</v>
      </c>
      <c r="I8" s="23" t="str">
        <f>IFERROR(__xludf.DUMMYFUNCTION("""COMPUTED_VALUE"""),"B")</f>
        <v>B</v>
      </c>
      <c r="J8" s="28">
        <f>IFERROR(__xludf.DUMMYFUNCTION("""COMPUTED_VALUE"""),1.0)</f>
        <v>1</v>
      </c>
      <c r="K8" s="29">
        <f>IFERROR(__xludf.DUMMYFUNCTION("""COMPUTED_VALUE"""),1.0)</f>
        <v>1</v>
      </c>
      <c r="L8" s="29">
        <f>IFERROR(__xludf.DUMMYFUNCTION("""COMPUTED_VALUE"""),0.5683760683760684)</f>
        <v>0.5683760684</v>
      </c>
      <c r="M8" s="30">
        <f>IFERROR(__xludf.DUMMYFUNCTION("""COMPUTED_VALUE"""),55.0)</f>
        <v>55</v>
      </c>
      <c r="N8" s="31">
        <f>IFERROR(__xludf.DUMMYFUNCTION("""COMPUTED_VALUE"""),0.55)</f>
        <v>0.55</v>
      </c>
      <c r="O8" s="26">
        <f>IFERROR(__xludf.DUMMYFUNCTION("""COMPUTED_VALUE"""),11.0)</f>
        <v>11</v>
      </c>
      <c r="P8" s="23">
        <f>IFERROR(__xludf.DUMMYFUNCTION("""COMPUTED_VALUE"""),98.0)</f>
        <v>98</v>
      </c>
      <c r="Q8" s="24">
        <f>IFERROR(__xludf.DUMMYFUNCTION("""COMPUTED_VALUE"""),100.0)</f>
        <v>100</v>
      </c>
      <c r="R8" s="24">
        <f>IFERROR(__xludf.DUMMYFUNCTION("""COMPUTED_VALUE"""),100.0)</f>
        <v>100</v>
      </c>
      <c r="S8" s="32"/>
      <c r="T8" s="31">
        <f>IFERROR(__xludf.DUMMYFUNCTION("""COMPUTED_VALUE"""),0.9933333333333332)</f>
        <v>0.9933333333</v>
      </c>
      <c r="U8" s="27">
        <f>IFERROR(__xludf.DUMMYFUNCTION("""COMPUTED_VALUE"""),0.7716666666666666)</f>
        <v>0.7716666667</v>
      </c>
      <c r="V8" s="26">
        <f>IFERROR(__xludf.DUMMYFUNCTION("""COMPUTED_VALUE"""),6.0)</f>
        <v>6</v>
      </c>
      <c r="W8" s="31">
        <f>IFERROR(__xludf.DUMMYFUNCTION("""COMPUTED_VALUE"""),1.7306158247437318)</f>
        <v>1.730615825</v>
      </c>
      <c r="X8" s="26">
        <f>IFERROR(__xludf.DUMMYFUNCTION("""COMPUTED_VALUE"""),6.0)</f>
        <v>6</v>
      </c>
    </row>
    <row r="9">
      <c r="A9" s="3" t="str">
        <f>IFERROR(__xludf.DUMMYFUNCTION("""COMPUTED_VALUE"""),"25-0628")</f>
        <v>25-0628</v>
      </c>
      <c r="B9" s="22" t="str">
        <f>IFERROR(__xludf.DUMMYFUNCTION("""COMPUTED_VALUE"""),"LiTec-ME")</f>
        <v>LiTec-ME</v>
      </c>
      <c r="C9" s="23">
        <f>IFERROR(__xludf.DUMMYFUNCTION("""COMPUTED_VALUE"""),198.0)</f>
        <v>198</v>
      </c>
      <c r="D9" s="24">
        <f>IFERROR(__xludf.DUMMYFUNCTION("""COMPUTED_VALUE"""),8.0)</f>
        <v>8</v>
      </c>
      <c r="E9" s="24">
        <f>IFERROR(__xludf.DUMMYFUNCTION("""COMPUTED_VALUE"""),31.0)</f>
        <v>31</v>
      </c>
      <c r="F9" s="25">
        <f>IFERROR(__xludf.DUMMYFUNCTION("""COMPUTED_VALUE"""),114.5)</f>
        <v>114.5</v>
      </c>
      <c r="G9" s="26">
        <f>IFERROR(__xludf.DUMMYFUNCTION("""COMPUTED_VALUE"""),7.0)</f>
        <v>7</v>
      </c>
      <c r="H9" s="27">
        <f>IFERROR(__xludf.DUMMYFUNCTION("""COMPUTED_VALUE"""),0.5162998338870431)</f>
        <v>0.5162998339</v>
      </c>
      <c r="I9" s="23" t="str">
        <f>IFERROR(__xludf.DUMMYFUNCTION("""COMPUTED_VALUE"""),"A")</f>
        <v>A</v>
      </c>
      <c r="J9" s="28">
        <f>IFERROR(__xludf.DUMMYFUNCTION("""COMPUTED_VALUE"""),5.0)</f>
        <v>5</v>
      </c>
      <c r="K9" s="29">
        <f>IFERROR(__xludf.DUMMYFUNCTION("""COMPUTED_VALUE"""),0.4285714285714286)</f>
        <v>0.4285714286</v>
      </c>
      <c r="L9" s="29">
        <f>IFERROR(__xludf.DUMMYFUNCTION("""COMPUTED_VALUE"""),0.4285714285714286)</f>
        <v>0.4285714286</v>
      </c>
      <c r="M9" s="30">
        <f>IFERROR(__xludf.DUMMYFUNCTION("""COMPUTED_VALUE"""),43.0)</f>
        <v>43</v>
      </c>
      <c r="N9" s="31">
        <f>IFERROR(__xludf.DUMMYFUNCTION("""COMPUTED_VALUE"""),0.43)</f>
        <v>0.43</v>
      </c>
      <c r="O9" s="26">
        <f>IFERROR(__xludf.DUMMYFUNCTION("""COMPUTED_VALUE"""),12.0)</f>
        <v>12</v>
      </c>
      <c r="P9" s="23">
        <f>IFERROR(__xludf.DUMMYFUNCTION("""COMPUTED_VALUE"""),94.0)</f>
        <v>94</v>
      </c>
      <c r="Q9" s="24">
        <f>IFERROR(__xludf.DUMMYFUNCTION("""COMPUTED_VALUE"""),100.0)</f>
        <v>100</v>
      </c>
      <c r="R9" s="24">
        <f>IFERROR(__xludf.DUMMYFUNCTION("""COMPUTED_VALUE"""),100.0)</f>
        <v>100</v>
      </c>
      <c r="S9" s="32"/>
      <c r="T9" s="31">
        <f>IFERROR(__xludf.DUMMYFUNCTION("""COMPUTED_VALUE"""),0.98)</f>
        <v>0.98</v>
      </c>
      <c r="U9" s="27">
        <f>IFERROR(__xludf.DUMMYFUNCTION("""COMPUTED_VALUE"""),0.705)</f>
        <v>0.705</v>
      </c>
      <c r="V9" s="26">
        <f>IFERROR(__xludf.DUMMYFUNCTION("""COMPUTED_VALUE"""),9.0)</f>
        <v>9</v>
      </c>
      <c r="W9" s="31">
        <f>IFERROR(__xludf.DUMMYFUNCTION("""COMPUTED_VALUE"""),1.6498712624584717)</f>
        <v>1.649871262</v>
      </c>
      <c r="X9" s="26">
        <f>IFERROR(__xludf.DUMMYFUNCTION("""COMPUTED_VALUE"""),7.0)</f>
        <v>7</v>
      </c>
    </row>
    <row r="10">
      <c r="A10" s="3" t="str">
        <f>IFERROR(__xludf.DUMMYFUNCTION("""COMPUTED_VALUE"""),"25-0640")</f>
        <v>25-0640</v>
      </c>
      <c r="B10" s="22" t="str">
        <f>IFERROR(__xludf.DUMMYFUNCTION("""COMPUTED_VALUE"""),"HTL St. Johann")</f>
        <v>HTL St. Johann</v>
      </c>
      <c r="C10" s="23">
        <f>IFERROR(__xludf.DUMMYFUNCTION("""COMPUTED_VALUE"""),377.0)</f>
        <v>377</v>
      </c>
      <c r="D10" s="24">
        <f>IFERROR(__xludf.DUMMYFUNCTION("""COMPUTED_VALUE"""),8.0)</f>
        <v>8</v>
      </c>
      <c r="E10" s="24">
        <f>IFERROR(__xludf.DUMMYFUNCTION("""COMPUTED_VALUE"""),160.0)</f>
        <v>160</v>
      </c>
      <c r="F10" s="25">
        <f>IFERROR(__xludf.DUMMYFUNCTION("""COMPUTED_VALUE"""),268.5)</f>
        <v>268.5</v>
      </c>
      <c r="G10" s="26">
        <f>IFERROR(__xludf.DUMMYFUNCTION("""COMPUTED_VALUE"""),4.0)</f>
        <v>4</v>
      </c>
      <c r="H10" s="27">
        <f>IFERROR(__xludf.DUMMYFUNCTION("""COMPUTED_VALUE"""),0.7208783222591362)</f>
        <v>0.7208783223</v>
      </c>
      <c r="I10" s="23" t="str">
        <f>IFERROR(__xludf.DUMMYFUNCTION("""COMPUTED_VALUE"""),"A")</f>
        <v>A</v>
      </c>
      <c r="J10" s="28">
        <f>IFERROR(__xludf.DUMMYFUNCTION("""COMPUTED_VALUE"""),5.0)</f>
        <v>5</v>
      </c>
      <c r="K10" s="29">
        <f>IFERROR(__xludf.DUMMYFUNCTION("""COMPUTED_VALUE"""),0.4285714285714286)</f>
        <v>0.4285714286</v>
      </c>
      <c r="L10" s="29">
        <f>IFERROR(__xludf.DUMMYFUNCTION("""COMPUTED_VALUE"""),0.4285714285714286)</f>
        <v>0.4285714286</v>
      </c>
      <c r="M10" s="30">
        <f>IFERROR(__xludf.DUMMYFUNCTION("""COMPUTED_VALUE"""),40.5)</f>
        <v>40.5</v>
      </c>
      <c r="N10" s="31">
        <f>IFERROR(__xludf.DUMMYFUNCTION("""COMPUTED_VALUE"""),0.405)</f>
        <v>0.405</v>
      </c>
      <c r="O10" s="26">
        <f>IFERROR(__xludf.DUMMYFUNCTION("""COMPUTED_VALUE"""),14.0)</f>
        <v>14</v>
      </c>
      <c r="P10" s="23">
        <f>IFERROR(__xludf.DUMMYFUNCTION("""COMPUTED_VALUE"""),0.0)</f>
        <v>0</v>
      </c>
      <c r="Q10" s="24">
        <f>IFERROR(__xludf.DUMMYFUNCTION("""COMPUTED_VALUE"""),15.5)</f>
        <v>15.5</v>
      </c>
      <c r="R10" s="24">
        <f>IFERROR(__xludf.DUMMYFUNCTION("""COMPUTED_VALUE"""),50.0)</f>
        <v>50</v>
      </c>
      <c r="S10" s="32"/>
      <c r="T10" s="31">
        <f>IFERROR(__xludf.DUMMYFUNCTION("""COMPUTED_VALUE"""),0.21833333333333332)</f>
        <v>0.2183333333</v>
      </c>
      <c r="U10" s="27">
        <f>IFERROR(__xludf.DUMMYFUNCTION("""COMPUTED_VALUE"""),0.31166666666666665)</f>
        <v>0.3116666667</v>
      </c>
      <c r="V10" s="26">
        <f>IFERROR(__xludf.DUMMYFUNCTION("""COMPUTED_VALUE"""),14.0)</f>
        <v>14</v>
      </c>
      <c r="W10" s="31">
        <f>IFERROR(__xludf.DUMMYFUNCTION("""COMPUTED_VALUE"""),1.4611164174972315)</f>
        <v>1.461116417</v>
      </c>
      <c r="X10" s="26">
        <f>IFERROR(__xludf.DUMMYFUNCTION("""COMPUTED_VALUE"""),8.0)</f>
        <v>8</v>
      </c>
    </row>
    <row r="11">
      <c r="A11" s="3" t="str">
        <f>IFERROR(__xludf.DUMMYFUNCTION("""COMPUTED_VALUE"""),"25-0622")</f>
        <v>25-0622</v>
      </c>
      <c r="B11" s="22" t="str">
        <f>IFERROR(__xludf.DUMMYFUNCTION("""COMPUTED_VALUE"""),"Kukuk")</f>
        <v>Kukuk</v>
      </c>
      <c r="C11" s="23">
        <f>IFERROR(__xludf.DUMMYFUNCTION("""COMPUTED_VALUE"""),34.0)</f>
        <v>34</v>
      </c>
      <c r="D11" s="24">
        <f>IFERROR(__xludf.DUMMYFUNCTION("""COMPUTED_VALUE"""),32.0)</f>
        <v>32</v>
      </c>
      <c r="E11" s="24">
        <f>IFERROR(__xludf.DUMMYFUNCTION("""COMPUTED_VALUE"""),34.0)</f>
        <v>34</v>
      </c>
      <c r="F11" s="25">
        <f>IFERROR(__xludf.DUMMYFUNCTION("""COMPUTED_VALUE"""),34.0)</f>
        <v>34</v>
      </c>
      <c r="G11" s="26">
        <f>IFERROR(__xludf.DUMMYFUNCTION("""COMPUTED_VALUE"""),10.0)</f>
        <v>10</v>
      </c>
      <c r="H11" s="27">
        <f>IFERROR(__xludf.DUMMYFUNCTION("""COMPUTED_VALUE"""),0.34224460132890366)</f>
        <v>0.3422446013</v>
      </c>
      <c r="I11" s="23" t="str">
        <f>IFERROR(__xludf.DUMMYFUNCTION("""COMPUTED_VALUE"""),"B")</f>
        <v>B</v>
      </c>
      <c r="J11" s="28">
        <f>IFERROR(__xludf.DUMMYFUNCTION("""COMPUTED_VALUE"""),5.0)</f>
        <v>5</v>
      </c>
      <c r="K11" s="29">
        <f>IFERROR(__xludf.DUMMYFUNCTION("""COMPUTED_VALUE"""),0.5555555555555556)</f>
        <v>0.5555555556</v>
      </c>
      <c r="L11" s="29">
        <f>IFERROR(__xludf.DUMMYFUNCTION("""COMPUTED_VALUE"""),0.3157644824311491)</f>
        <v>0.3157644824</v>
      </c>
      <c r="M11" s="30">
        <f>IFERROR(__xludf.DUMMYFUNCTION("""COMPUTED_VALUE"""),65.0)</f>
        <v>65</v>
      </c>
      <c r="N11" s="31">
        <f>IFERROR(__xludf.DUMMYFUNCTION("""COMPUTED_VALUE"""),0.65)</f>
        <v>0.65</v>
      </c>
      <c r="O11" s="26">
        <f>IFERROR(__xludf.DUMMYFUNCTION("""COMPUTED_VALUE"""),10.0)</f>
        <v>10</v>
      </c>
      <c r="P11" s="23">
        <f>IFERROR(__xludf.DUMMYFUNCTION("""COMPUTED_VALUE"""),41.0)</f>
        <v>41</v>
      </c>
      <c r="Q11" s="24">
        <f>IFERROR(__xludf.DUMMYFUNCTION("""COMPUTED_VALUE"""),100.0)</f>
        <v>100</v>
      </c>
      <c r="R11" s="24">
        <f>IFERROR(__xludf.DUMMYFUNCTION("""COMPUTED_VALUE"""),100.0)</f>
        <v>100</v>
      </c>
      <c r="S11" s="32"/>
      <c r="T11" s="31">
        <f>IFERROR(__xludf.DUMMYFUNCTION("""COMPUTED_VALUE"""),0.8033333333333332)</f>
        <v>0.8033333333</v>
      </c>
      <c r="U11" s="27">
        <f>IFERROR(__xludf.DUMMYFUNCTION("""COMPUTED_VALUE"""),0.7266666666666666)</f>
        <v>0.7266666667</v>
      </c>
      <c r="V11" s="26">
        <f>IFERROR(__xludf.DUMMYFUNCTION("""COMPUTED_VALUE"""),7.0)</f>
        <v>7</v>
      </c>
      <c r="W11" s="31">
        <f>IFERROR(__xludf.DUMMYFUNCTION("""COMPUTED_VALUE"""),1.3846757504267193)</f>
        <v>1.38467575</v>
      </c>
      <c r="X11" s="26">
        <f>IFERROR(__xludf.DUMMYFUNCTION("""COMPUTED_VALUE"""),9.0)</f>
        <v>9</v>
      </c>
    </row>
    <row r="12">
      <c r="A12" s="3" t="str">
        <f>IFERROR(__xludf.DUMMYFUNCTION("""COMPUTED_VALUE"""),"25-0663")</f>
        <v>25-0663</v>
      </c>
      <c r="B12" s="22" t="str">
        <f>IFERROR(__xludf.DUMMYFUNCTION("""COMPUTED_VALUE"""),"Titan")</f>
        <v>Titan</v>
      </c>
      <c r="C12" s="23">
        <f>IFERROR(__xludf.DUMMYFUNCTION("""COMPUTED_VALUE"""),90.0)</f>
        <v>90</v>
      </c>
      <c r="D12" s="24">
        <f>IFERROR(__xludf.DUMMYFUNCTION("""COMPUTED_VALUE"""),233.0)</f>
        <v>233</v>
      </c>
      <c r="E12" s="24">
        <f>IFERROR(__xludf.DUMMYFUNCTION("""COMPUTED_VALUE"""),189.0)</f>
        <v>189</v>
      </c>
      <c r="F12" s="25">
        <f>IFERROR(__xludf.DUMMYFUNCTION("""COMPUTED_VALUE"""),211.0)</f>
        <v>211</v>
      </c>
      <c r="G12" s="26">
        <f>IFERROR(__xludf.DUMMYFUNCTION("""COMPUTED_VALUE"""),5.0)</f>
        <v>5</v>
      </c>
      <c r="H12" s="27">
        <f>IFERROR(__xludf.DUMMYFUNCTION("""COMPUTED_VALUE"""),0.650124584717608)</f>
        <v>0.6501245847</v>
      </c>
      <c r="I12" s="23" t="str">
        <f>IFERROR(__xludf.DUMMYFUNCTION("""COMPUTED_VALUE"""),"A")</f>
        <v>A</v>
      </c>
      <c r="J12" s="28">
        <f>IFERROR(__xludf.DUMMYFUNCTION("""COMPUTED_VALUE"""),4.0)</f>
        <v>4</v>
      </c>
      <c r="K12" s="29">
        <f>IFERROR(__xludf.DUMMYFUNCTION("""COMPUTED_VALUE"""),0.5714285714285714)</f>
        <v>0.5714285714</v>
      </c>
      <c r="L12" s="29">
        <f>IFERROR(__xludf.DUMMYFUNCTION("""COMPUTED_VALUE"""),0.5714285714285714)</f>
        <v>0.5714285714</v>
      </c>
      <c r="M12" s="30"/>
      <c r="N12" s="31">
        <f>IFERROR(__xludf.DUMMYFUNCTION("""COMPUTED_VALUE"""),0.0)</f>
        <v>0</v>
      </c>
      <c r="O12" s="26">
        <f>IFERROR(__xludf.DUMMYFUNCTION("""COMPUTED_VALUE"""),17.0)</f>
        <v>17</v>
      </c>
      <c r="P12" s="23">
        <f>IFERROR(__xludf.DUMMYFUNCTION("""COMPUTED_VALUE"""),0.0)</f>
        <v>0</v>
      </c>
      <c r="Q12" s="24">
        <f>IFERROR(__xludf.DUMMYFUNCTION("""COMPUTED_VALUE"""),0.0)</f>
        <v>0</v>
      </c>
      <c r="R12" s="24">
        <f>IFERROR(__xludf.DUMMYFUNCTION("""COMPUTED_VALUE"""),0.0)</f>
        <v>0</v>
      </c>
      <c r="S12" s="32"/>
      <c r="T12" s="31">
        <f>IFERROR(__xludf.DUMMYFUNCTION("""COMPUTED_VALUE"""),0.0)</f>
        <v>0</v>
      </c>
      <c r="U12" s="27">
        <f>IFERROR(__xludf.DUMMYFUNCTION("""COMPUTED_VALUE"""),0.0)</f>
        <v>0</v>
      </c>
      <c r="V12" s="26">
        <f>IFERROR(__xludf.DUMMYFUNCTION("""COMPUTED_VALUE"""),16.0)</f>
        <v>16</v>
      </c>
      <c r="W12" s="31">
        <f>IFERROR(__xludf.DUMMYFUNCTION("""COMPUTED_VALUE"""),1.2215531561461794)</f>
        <v>1.221553156</v>
      </c>
      <c r="X12" s="26">
        <f>IFERROR(__xludf.DUMMYFUNCTION("""COMPUTED_VALUE"""),10.0)</f>
        <v>10</v>
      </c>
    </row>
    <row r="13">
      <c r="A13" s="3" t="str">
        <f>IFERROR(__xludf.DUMMYFUNCTION("""COMPUTED_VALUE"""),"25-0603")</f>
        <v>25-0603</v>
      </c>
      <c r="B13" s="22" t="str">
        <f>IFERROR(__xludf.DUMMYFUNCTION("""COMPUTED_VALUE"""),"HexCat")</f>
        <v>HexCat</v>
      </c>
      <c r="C13" s="23">
        <f>IFERROR(__xludf.DUMMYFUNCTION("""COMPUTED_VALUE"""),13.0)</f>
        <v>13</v>
      </c>
      <c r="D13" s="24">
        <f>IFERROR(__xludf.DUMMYFUNCTION("""COMPUTED_VALUE"""),9.0)</f>
        <v>9</v>
      </c>
      <c r="E13" s="24">
        <f>IFERROR(__xludf.DUMMYFUNCTION("""COMPUTED_VALUE"""),11.0)</f>
        <v>11</v>
      </c>
      <c r="F13" s="25">
        <f>IFERROR(__xludf.DUMMYFUNCTION("""COMPUTED_VALUE"""),12.0)</f>
        <v>12</v>
      </c>
      <c r="G13" s="26">
        <f>IFERROR(__xludf.DUMMYFUNCTION("""COMPUTED_VALUE"""),15.0)</f>
        <v>15</v>
      </c>
      <c r="H13" s="27">
        <f>IFERROR(__xludf.DUMMYFUNCTION("""COMPUTED_VALUE"""),0.09873338870431894)</f>
        <v>0.0987333887</v>
      </c>
      <c r="I13" s="23" t="str">
        <f>IFERROR(__xludf.DUMMYFUNCTION("""COMPUTED_VALUE"""),"B")</f>
        <v>B</v>
      </c>
      <c r="J13" s="28">
        <f>IFERROR(__xludf.DUMMYFUNCTION("""COMPUTED_VALUE"""),7.0)</f>
        <v>7</v>
      </c>
      <c r="K13" s="29">
        <f>IFERROR(__xludf.DUMMYFUNCTION("""COMPUTED_VALUE"""),0.33333333333333337)</f>
        <v>0.3333333333</v>
      </c>
      <c r="L13" s="29">
        <f>IFERROR(__xludf.DUMMYFUNCTION("""COMPUTED_VALUE"""),0.18945868945868946)</f>
        <v>0.1894586895</v>
      </c>
      <c r="M13" s="30">
        <f>IFERROR(__xludf.DUMMYFUNCTION("""COMPUTED_VALUE"""),82.0)</f>
        <v>82</v>
      </c>
      <c r="N13" s="31">
        <f>IFERROR(__xludf.DUMMYFUNCTION("""COMPUTED_VALUE"""),0.82)</f>
        <v>0.82</v>
      </c>
      <c r="O13" s="26">
        <f>IFERROR(__xludf.DUMMYFUNCTION("""COMPUTED_VALUE"""),5.0)</f>
        <v>5</v>
      </c>
      <c r="P13" s="23">
        <f>IFERROR(__xludf.DUMMYFUNCTION("""COMPUTED_VALUE"""),96.0)</f>
        <v>96</v>
      </c>
      <c r="Q13" s="24">
        <f>IFERROR(__xludf.DUMMYFUNCTION("""COMPUTED_VALUE"""),100.0)</f>
        <v>100</v>
      </c>
      <c r="R13" s="24">
        <f>IFERROR(__xludf.DUMMYFUNCTION("""COMPUTED_VALUE"""),100.0)</f>
        <v>100</v>
      </c>
      <c r="S13" s="32"/>
      <c r="T13" s="31">
        <f>IFERROR(__xludf.DUMMYFUNCTION("""COMPUTED_VALUE"""),0.9866666666666666)</f>
        <v>0.9866666667</v>
      </c>
      <c r="U13" s="27">
        <f>IFERROR(__xludf.DUMMYFUNCTION("""COMPUTED_VALUE"""),0.9033333333333333)</f>
        <v>0.9033333333</v>
      </c>
      <c r="V13" s="26">
        <f>IFERROR(__xludf.DUMMYFUNCTION("""COMPUTED_VALUE"""),4.0)</f>
        <v>4</v>
      </c>
      <c r="W13" s="31">
        <f>IFERROR(__xludf.DUMMYFUNCTION("""COMPUTED_VALUE"""),1.1915254114963418)</f>
        <v>1.191525411</v>
      </c>
      <c r="X13" s="26">
        <f>IFERROR(__xludf.DUMMYFUNCTION("""COMPUTED_VALUE"""),11.0)</f>
        <v>11</v>
      </c>
    </row>
    <row r="14">
      <c r="A14" s="3" t="str">
        <f>IFERROR(__xludf.DUMMYFUNCTION("""COMPUTED_VALUE"""),"25-0367")</f>
        <v>25-0367</v>
      </c>
      <c r="B14" s="22" t="str">
        <f>IFERROR(__xludf.DUMMYFUNCTION("""COMPUTED_VALUE"""),"Hamstinator")</f>
        <v>Hamstinator</v>
      </c>
      <c r="C14" s="23">
        <f>IFERROR(__xludf.DUMMYFUNCTION("""COMPUTED_VALUE"""),0.0)</f>
        <v>0</v>
      </c>
      <c r="D14" s="24">
        <f>IFERROR(__xludf.DUMMYFUNCTION("""COMPUTED_VALUE"""),13.0)</f>
        <v>13</v>
      </c>
      <c r="E14" s="24">
        <f>IFERROR(__xludf.DUMMYFUNCTION("""COMPUTED_VALUE"""),16.0)</f>
        <v>16</v>
      </c>
      <c r="F14" s="25">
        <f>IFERROR(__xludf.DUMMYFUNCTION("""COMPUTED_VALUE"""),14.5)</f>
        <v>14.5</v>
      </c>
      <c r="G14" s="26">
        <f>IFERROR(__xludf.DUMMYFUNCTION("""COMPUTED_VALUE"""),14.0)</f>
        <v>14</v>
      </c>
      <c r="H14" s="27">
        <f>IFERROR(__xludf.DUMMYFUNCTION("""COMPUTED_VALUE"""),0.14664659468438537)</f>
        <v>0.1466465947</v>
      </c>
      <c r="I14" s="23" t="str">
        <f>IFERROR(__xludf.DUMMYFUNCTION("""COMPUTED_VALUE"""),"B")</f>
        <v>B</v>
      </c>
      <c r="J14" s="28">
        <f>IFERROR(__xludf.DUMMYFUNCTION("""COMPUTED_VALUE"""),7.0)</f>
        <v>7</v>
      </c>
      <c r="K14" s="29">
        <f>IFERROR(__xludf.DUMMYFUNCTION("""COMPUTED_VALUE"""),0.33333333333333337)</f>
        <v>0.3333333333</v>
      </c>
      <c r="L14" s="29">
        <f>IFERROR(__xludf.DUMMYFUNCTION("""COMPUTED_VALUE"""),0.18945868945868946)</f>
        <v>0.1894586895</v>
      </c>
      <c r="M14" s="30">
        <f>IFERROR(__xludf.DUMMYFUNCTION("""COMPUTED_VALUE"""),42.0)</f>
        <v>42</v>
      </c>
      <c r="N14" s="31">
        <f>IFERROR(__xludf.DUMMYFUNCTION("""COMPUTED_VALUE"""),0.42)</f>
        <v>0.42</v>
      </c>
      <c r="O14" s="26">
        <f>IFERROR(__xludf.DUMMYFUNCTION("""COMPUTED_VALUE"""),13.0)</f>
        <v>13</v>
      </c>
      <c r="P14" s="23">
        <f>IFERROR(__xludf.DUMMYFUNCTION("""COMPUTED_VALUE"""),100.0)</f>
        <v>100</v>
      </c>
      <c r="Q14" s="24">
        <f>IFERROR(__xludf.DUMMYFUNCTION("""COMPUTED_VALUE"""),100.0)</f>
        <v>100</v>
      </c>
      <c r="R14" s="24">
        <f>IFERROR(__xludf.DUMMYFUNCTION("""COMPUTED_VALUE"""),100.0)</f>
        <v>100</v>
      </c>
      <c r="S14" s="32"/>
      <c r="T14" s="31">
        <f>IFERROR(__xludf.DUMMYFUNCTION("""COMPUTED_VALUE"""),1.0)</f>
        <v>1</v>
      </c>
      <c r="U14" s="27">
        <f>IFERROR(__xludf.DUMMYFUNCTION("""COMPUTED_VALUE"""),0.71)</f>
        <v>0.71</v>
      </c>
      <c r="V14" s="26">
        <f>IFERROR(__xludf.DUMMYFUNCTION("""COMPUTED_VALUE"""),8.0)</f>
        <v>8</v>
      </c>
      <c r="W14" s="31">
        <f>IFERROR(__xludf.DUMMYFUNCTION("""COMPUTED_VALUE"""),1.0461052841430747)</f>
        <v>1.046105284</v>
      </c>
      <c r="X14" s="26">
        <f>IFERROR(__xludf.DUMMYFUNCTION("""COMPUTED_VALUE"""),12.0)</f>
        <v>12</v>
      </c>
    </row>
    <row r="15">
      <c r="A15" s="3" t="str">
        <f>IFERROR(__xludf.DUMMYFUNCTION("""COMPUTED_VALUE"""),"25-0633")</f>
        <v>25-0633</v>
      </c>
      <c r="B15" s="22" t="str">
        <f>IFERROR(__xludf.DUMMYFUNCTION("""COMPUTED_VALUE"""),"100Sachen80")</f>
        <v>100Sachen80</v>
      </c>
      <c r="C15" s="23">
        <f>IFERROR(__xludf.DUMMYFUNCTION("""COMPUTED_VALUE"""),13.0)</f>
        <v>13</v>
      </c>
      <c r="D15" s="24">
        <f>IFERROR(__xludf.DUMMYFUNCTION("""COMPUTED_VALUE"""),0.0)</f>
        <v>0</v>
      </c>
      <c r="E15" s="24">
        <f>IFERROR(__xludf.DUMMYFUNCTION("""COMPUTED_VALUE"""),17.0)</f>
        <v>17</v>
      </c>
      <c r="F15" s="25">
        <f>IFERROR(__xludf.DUMMYFUNCTION("""COMPUTED_VALUE"""),15.0)</f>
        <v>15</v>
      </c>
      <c r="G15" s="26">
        <f>IFERROR(__xludf.DUMMYFUNCTION("""COMPUTED_VALUE"""),13.0)</f>
        <v>13</v>
      </c>
      <c r="H15" s="27">
        <f>IFERROR(__xludf.DUMMYFUNCTION("""COMPUTED_VALUE"""),0.19372923588039867)</f>
        <v>0.1937292359</v>
      </c>
      <c r="I15" s="23" t="str">
        <f>IFERROR(__xludf.DUMMYFUNCTION("""COMPUTED_VALUE"""),"B")</f>
        <v>B</v>
      </c>
      <c r="J15" s="28">
        <f>IFERROR(__xludf.DUMMYFUNCTION("""COMPUTED_VALUE"""),5.0)</f>
        <v>5</v>
      </c>
      <c r="K15" s="29">
        <f>IFERROR(__xludf.DUMMYFUNCTION("""COMPUTED_VALUE"""),0.5555555555555556)</f>
        <v>0.5555555556</v>
      </c>
      <c r="L15" s="29">
        <f>IFERROR(__xludf.DUMMYFUNCTION("""COMPUTED_VALUE"""),0.3157644824311491)</f>
        <v>0.3157644824</v>
      </c>
      <c r="M15" s="30">
        <f>IFERROR(__xludf.DUMMYFUNCTION("""COMPUTED_VALUE"""),17.0)</f>
        <v>17</v>
      </c>
      <c r="N15" s="31">
        <f>IFERROR(__xludf.DUMMYFUNCTION("""COMPUTED_VALUE"""),0.17)</f>
        <v>0.17</v>
      </c>
      <c r="O15" s="26">
        <f>IFERROR(__xludf.DUMMYFUNCTION("""COMPUTED_VALUE"""),16.0)</f>
        <v>16</v>
      </c>
      <c r="P15" s="23">
        <f>IFERROR(__xludf.DUMMYFUNCTION("""COMPUTED_VALUE"""),94.0)</f>
        <v>94</v>
      </c>
      <c r="Q15" s="24">
        <f>IFERROR(__xludf.DUMMYFUNCTION("""COMPUTED_VALUE"""),100.0)</f>
        <v>100</v>
      </c>
      <c r="R15" s="24">
        <f>IFERROR(__xludf.DUMMYFUNCTION("""COMPUTED_VALUE"""),60.0)</f>
        <v>60</v>
      </c>
      <c r="S15" s="32"/>
      <c r="T15" s="31">
        <f>IFERROR(__xludf.DUMMYFUNCTION("""COMPUTED_VALUE"""),0.8466666666666666)</f>
        <v>0.8466666667</v>
      </c>
      <c r="U15" s="27">
        <f>IFERROR(__xludf.DUMMYFUNCTION("""COMPUTED_VALUE"""),0.5083333333333333)</f>
        <v>0.5083333333</v>
      </c>
      <c r="V15" s="26">
        <f>IFERROR(__xludf.DUMMYFUNCTION("""COMPUTED_VALUE"""),11.0)</f>
        <v>11</v>
      </c>
      <c r="W15" s="31">
        <f>IFERROR(__xludf.DUMMYFUNCTION("""COMPUTED_VALUE"""),1.017827051644881)</f>
        <v>1.017827052</v>
      </c>
      <c r="X15" s="26">
        <f>IFERROR(__xludf.DUMMYFUNCTION("""COMPUTED_VALUE"""),13.0)</f>
        <v>13</v>
      </c>
    </row>
    <row r="16">
      <c r="A16" s="3" t="str">
        <f>IFERROR(__xludf.DUMMYFUNCTION("""COMPUTED_VALUE"""),"25-0617")</f>
        <v>25-0617</v>
      </c>
      <c r="B16" s="22" t="str">
        <f>IFERROR(__xludf.DUMMYFUNCTION("""COMPUTED_VALUE"""),"Venti")</f>
        <v>Venti</v>
      </c>
      <c r="C16" s="23">
        <f>IFERROR(__xludf.DUMMYFUNCTION("""COMPUTED_VALUE"""),0.0)</f>
        <v>0</v>
      </c>
      <c r="D16" s="24">
        <f>IFERROR(__xludf.DUMMYFUNCTION("""COMPUTED_VALUE"""),20.0)</f>
        <v>20</v>
      </c>
      <c r="E16" s="24">
        <f>IFERROR(__xludf.DUMMYFUNCTION("""COMPUTED_VALUE"""),22.0)</f>
        <v>22</v>
      </c>
      <c r="F16" s="25">
        <f>IFERROR(__xludf.DUMMYFUNCTION("""COMPUTED_VALUE"""),21.0)</f>
        <v>21</v>
      </c>
      <c r="G16" s="26">
        <f>IFERROR(__xludf.DUMMYFUNCTION("""COMPUTED_VALUE"""),12.0)</f>
        <v>12</v>
      </c>
      <c r="H16" s="27">
        <f>IFERROR(__xludf.DUMMYFUNCTION("""COMPUTED_VALUE"""),0.24309593023255813)</f>
        <v>0.2430959302</v>
      </c>
      <c r="I16" s="23" t="str">
        <f>IFERROR(__xludf.DUMMYFUNCTION("""COMPUTED_VALUE"""),"B")</f>
        <v>B</v>
      </c>
      <c r="J16" s="28">
        <f>IFERROR(__xludf.DUMMYFUNCTION("""COMPUTED_VALUE"""),9.0)</f>
        <v>9</v>
      </c>
      <c r="K16" s="29">
        <f>IFERROR(__xludf.DUMMYFUNCTION("""COMPUTED_VALUE"""),0.11111111111111116)</f>
        <v>0.1111111111</v>
      </c>
      <c r="L16" s="29">
        <f>IFERROR(__xludf.DUMMYFUNCTION("""COMPUTED_VALUE"""),0.06315289648622985)</f>
        <v>0.06315289649</v>
      </c>
      <c r="M16" s="30">
        <f>IFERROR(__xludf.DUMMYFUNCTION("""COMPUTED_VALUE"""),33.5)</f>
        <v>33.5</v>
      </c>
      <c r="N16" s="31">
        <f>IFERROR(__xludf.DUMMYFUNCTION("""COMPUTED_VALUE"""),0.335)</f>
        <v>0.335</v>
      </c>
      <c r="O16" s="26">
        <f>IFERROR(__xludf.DUMMYFUNCTION("""COMPUTED_VALUE"""),15.0)</f>
        <v>15</v>
      </c>
      <c r="P16" s="23">
        <f>IFERROR(__xludf.DUMMYFUNCTION("""COMPUTED_VALUE"""),100.0)</f>
        <v>100</v>
      </c>
      <c r="Q16" s="24">
        <f>IFERROR(__xludf.DUMMYFUNCTION("""COMPUTED_VALUE"""),100.0)</f>
        <v>100</v>
      </c>
      <c r="R16" s="24">
        <f>IFERROR(__xludf.DUMMYFUNCTION("""COMPUTED_VALUE"""),100.0)</f>
        <v>100</v>
      </c>
      <c r="S16" s="32"/>
      <c r="T16" s="31">
        <f>IFERROR(__xludf.DUMMYFUNCTION("""COMPUTED_VALUE"""),1.0)</f>
        <v>1</v>
      </c>
      <c r="U16" s="27">
        <f>IFERROR(__xludf.DUMMYFUNCTION("""COMPUTED_VALUE"""),0.6675)</f>
        <v>0.6675</v>
      </c>
      <c r="V16" s="26">
        <f>IFERROR(__xludf.DUMMYFUNCTION("""COMPUTED_VALUE"""),10.0)</f>
        <v>10</v>
      </c>
      <c r="W16" s="31">
        <f>IFERROR(__xludf.DUMMYFUNCTION("""COMPUTED_VALUE"""),0.9737488267187879)</f>
        <v>0.9737488267</v>
      </c>
      <c r="X16" s="26">
        <f>IFERROR(__xludf.DUMMYFUNCTION("""COMPUTED_VALUE"""),14.0)</f>
        <v>14</v>
      </c>
    </row>
    <row r="17">
      <c r="A17" s="3" t="str">
        <f>IFERROR(__xludf.DUMMYFUNCTION("""COMPUTED_VALUE"""),"25-0623")</f>
        <v>25-0623</v>
      </c>
      <c r="B17" s="22" t="str">
        <f>IFERROR(__xludf.DUMMYFUNCTION("""COMPUTED_VALUE"""),"Machinarium")</f>
        <v>Machinarium</v>
      </c>
      <c r="C17" s="23">
        <f>IFERROR(__xludf.DUMMYFUNCTION("""COMPUTED_VALUE"""),15.0)</f>
        <v>15</v>
      </c>
      <c r="D17" s="24">
        <f>IFERROR(__xludf.DUMMYFUNCTION("""COMPUTED_VALUE"""),369.0)</f>
        <v>369</v>
      </c>
      <c r="E17" s="24">
        <f>IFERROR(__xludf.DUMMYFUNCTION("""COMPUTED_VALUE"""),49.0)</f>
        <v>49</v>
      </c>
      <c r="F17" s="25">
        <f>IFERROR(__xludf.DUMMYFUNCTION("""COMPUTED_VALUE"""),209.0)</f>
        <v>209</v>
      </c>
      <c r="G17" s="26">
        <f>IFERROR(__xludf.DUMMYFUNCTION("""COMPUTED_VALUE"""),6.0)</f>
        <v>6</v>
      </c>
      <c r="H17" s="27">
        <f>IFERROR(__xludf.DUMMYFUNCTION("""COMPUTED_VALUE"""),0.6024190199335548)</f>
        <v>0.6024190199</v>
      </c>
      <c r="I17" s="23" t="str">
        <f>IFERROR(__xludf.DUMMYFUNCTION("""COMPUTED_VALUE"""),"A")</f>
        <v>A</v>
      </c>
      <c r="J17" s="28">
        <f>IFERROR(__xludf.DUMMYFUNCTION("""COMPUTED_VALUE"""),7.0)</f>
        <v>7</v>
      </c>
      <c r="K17" s="29">
        <f>IFERROR(__xludf.DUMMYFUNCTION("""COMPUTED_VALUE"""),0.1428571428571429)</f>
        <v>0.1428571429</v>
      </c>
      <c r="L17" s="29">
        <f>IFERROR(__xludf.DUMMYFUNCTION("""COMPUTED_VALUE"""),0.1428571428571429)</f>
        <v>0.1428571429</v>
      </c>
      <c r="M17" s="30"/>
      <c r="N17" s="31">
        <f>IFERROR(__xludf.DUMMYFUNCTION("""COMPUTED_VALUE"""),0.0)</f>
        <v>0</v>
      </c>
      <c r="O17" s="26">
        <f>IFERROR(__xludf.DUMMYFUNCTION("""COMPUTED_VALUE"""),17.0)</f>
        <v>17</v>
      </c>
      <c r="P17" s="23">
        <f>IFERROR(__xludf.DUMMYFUNCTION("""COMPUTED_VALUE"""),84.0)</f>
        <v>84</v>
      </c>
      <c r="Q17" s="24">
        <f>IFERROR(__xludf.DUMMYFUNCTION("""COMPUTED_VALUE"""),0.0)</f>
        <v>0</v>
      </c>
      <c r="R17" s="24">
        <f>IFERROR(__xludf.DUMMYFUNCTION("""COMPUTED_VALUE"""),0.0)</f>
        <v>0</v>
      </c>
      <c r="S17" s="32"/>
      <c r="T17" s="31">
        <f>IFERROR(__xludf.DUMMYFUNCTION("""COMPUTED_VALUE"""),0.27999999999999997)</f>
        <v>0.28</v>
      </c>
      <c r="U17" s="27">
        <f>IFERROR(__xludf.DUMMYFUNCTION("""COMPUTED_VALUE"""),0.13999999999999999)</f>
        <v>0.14</v>
      </c>
      <c r="V17" s="26">
        <f>IFERROR(__xludf.DUMMYFUNCTION("""COMPUTED_VALUE"""),15.0)</f>
        <v>15</v>
      </c>
      <c r="W17" s="31">
        <f>IFERROR(__xludf.DUMMYFUNCTION("""COMPUTED_VALUE"""),0.8852761627906978)</f>
        <v>0.8852761628</v>
      </c>
      <c r="X17" s="26">
        <f>IFERROR(__xludf.DUMMYFUNCTION("""COMPUTED_VALUE"""),15.0)</f>
        <v>15</v>
      </c>
    </row>
    <row r="18">
      <c r="A18" s="3" t="str">
        <f>IFERROR(__xludf.DUMMYFUNCTION("""COMPUTED_VALUE"""),"25-0397")</f>
        <v>25-0397</v>
      </c>
      <c r="B18" s="22" t="str">
        <f>IFERROR(__xludf.DUMMYFUNCTION("""COMPUTED_VALUE"""),"HTL Saalfelden")</f>
        <v>HTL Saalfelden</v>
      </c>
      <c r="C18" s="23">
        <f>IFERROR(__xludf.DUMMYFUNCTION("""COMPUTED_VALUE"""),8.0)</f>
        <v>8</v>
      </c>
      <c r="D18" s="24">
        <f>IFERROR(__xludf.DUMMYFUNCTION("""COMPUTED_VALUE"""),8.0)</f>
        <v>8</v>
      </c>
      <c r="E18" s="24">
        <f>IFERROR(__xludf.DUMMYFUNCTION("""COMPUTED_VALUE"""),11.0)</f>
        <v>11</v>
      </c>
      <c r="F18" s="25">
        <f>IFERROR(__xludf.DUMMYFUNCTION("""COMPUTED_VALUE"""),9.5)</f>
        <v>9.5</v>
      </c>
      <c r="G18" s="26">
        <f>IFERROR(__xludf.DUMMYFUNCTION("""COMPUTED_VALUE"""),16.0)</f>
        <v>16</v>
      </c>
      <c r="H18" s="27">
        <f>IFERROR(__xludf.DUMMYFUNCTION("""COMPUTED_VALUE"""),0.05082018272425249)</f>
        <v>0.05082018272</v>
      </c>
      <c r="I18" s="23" t="str">
        <f>IFERROR(__xludf.DUMMYFUNCTION("""COMPUTED_VALUE"""),"B")</f>
        <v>B</v>
      </c>
      <c r="J18" s="28">
        <f>IFERROR(__xludf.DUMMYFUNCTION("""COMPUTED_VALUE"""),3.0)</f>
        <v>3</v>
      </c>
      <c r="K18" s="29">
        <f>IFERROR(__xludf.DUMMYFUNCTION("""COMPUTED_VALUE"""),0.7777777777777778)</f>
        <v>0.7777777778</v>
      </c>
      <c r="L18" s="29">
        <f>IFERROR(__xludf.DUMMYFUNCTION("""COMPUTED_VALUE"""),0.4420702754036087)</f>
        <v>0.4420702754</v>
      </c>
      <c r="M18" s="30"/>
      <c r="N18" s="31">
        <f>IFERROR(__xludf.DUMMYFUNCTION("""COMPUTED_VALUE"""),0.0)</f>
        <v>0</v>
      </c>
      <c r="O18" s="26">
        <f>IFERROR(__xludf.DUMMYFUNCTION("""COMPUTED_VALUE"""),17.0)</f>
        <v>17</v>
      </c>
      <c r="P18" s="23">
        <f>IFERROR(__xludf.DUMMYFUNCTION("""COMPUTED_VALUE"""),78.5)</f>
        <v>78.5</v>
      </c>
      <c r="Q18" s="24">
        <f>IFERROR(__xludf.DUMMYFUNCTION("""COMPUTED_VALUE"""),85.0)</f>
        <v>85</v>
      </c>
      <c r="R18" s="24">
        <f>IFERROR(__xludf.DUMMYFUNCTION("""COMPUTED_VALUE"""),60.0)</f>
        <v>60</v>
      </c>
      <c r="S18" s="32"/>
      <c r="T18" s="31">
        <f>IFERROR(__xludf.DUMMYFUNCTION("""COMPUTED_VALUE"""),0.7449999999999999)</f>
        <v>0.745</v>
      </c>
      <c r="U18" s="27">
        <f>IFERROR(__xludf.DUMMYFUNCTION("""COMPUTED_VALUE"""),0.37249999999999994)</f>
        <v>0.3725</v>
      </c>
      <c r="V18" s="26">
        <f>IFERROR(__xludf.DUMMYFUNCTION("""COMPUTED_VALUE"""),13.0)</f>
        <v>13</v>
      </c>
      <c r="W18" s="31">
        <f>IFERROR(__xludf.DUMMYFUNCTION("""COMPUTED_VALUE"""),0.8653904581278611)</f>
        <v>0.8653904581</v>
      </c>
      <c r="X18" s="26">
        <f>IFERROR(__xludf.DUMMYFUNCTION("""COMPUTED_VALUE"""),16.0)</f>
        <v>16</v>
      </c>
    </row>
    <row r="19">
      <c r="A19" s="33"/>
      <c r="B19" s="33"/>
      <c r="C19" s="33"/>
      <c r="D19" s="33"/>
      <c r="E19" s="33"/>
      <c r="F19" s="33"/>
      <c r="G19" s="34"/>
      <c r="H19" s="33"/>
      <c r="I19" s="33"/>
      <c r="J19" s="34"/>
      <c r="K19" s="33"/>
      <c r="L19" s="33"/>
      <c r="M19" s="33"/>
      <c r="N19" s="33"/>
      <c r="O19" s="34"/>
      <c r="P19" s="33"/>
      <c r="Q19" s="33"/>
      <c r="R19" s="33"/>
      <c r="S19" s="33"/>
      <c r="T19" s="33"/>
      <c r="U19" s="33"/>
      <c r="V19" s="34"/>
      <c r="W19" s="33"/>
      <c r="X19" s="34"/>
    </row>
    <row r="20" ht="90.75" customHeight="1">
      <c r="A20" s="14" t="s">
        <v>0</v>
      </c>
      <c r="B20" s="14" t="s">
        <v>1</v>
      </c>
      <c r="C20" s="15" t="s">
        <v>4</v>
      </c>
      <c r="D20" s="14" t="s">
        <v>5</v>
      </c>
      <c r="E20" s="14" t="s">
        <v>6</v>
      </c>
      <c r="F20" s="15" t="s">
        <v>7</v>
      </c>
      <c r="G20" s="16" t="s">
        <v>8</v>
      </c>
      <c r="H20" s="17" t="s">
        <v>9</v>
      </c>
      <c r="I20" s="18" t="s">
        <v>10</v>
      </c>
      <c r="J20" s="19" t="s">
        <v>11</v>
      </c>
      <c r="K20" s="20" t="s">
        <v>12</v>
      </c>
      <c r="L20" s="17" t="s">
        <v>13</v>
      </c>
      <c r="M20" s="21" t="s">
        <v>14</v>
      </c>
      <c r="N20" s="21" t="s">
        <v>15</v>
      </c>
      <c r="O20" s="16" t="s">
        <v>16</v>
      </c>
      <c r="P20" s="35" t="s">
        <v>17</v>
      </c>
      <c r="Q20" s="36" t="s">
        <v>18</v>
      </c>
      <c r="R20" s="36" t="s">
        <v>19</v>
      </c>
      <c r="S20" s="36" t="s">
        <v>20</v>
      </c>
      <c r="T20" s="35" t="s">
        <v>21</v>
      </c>
      <c r="U20" s="36" t="s">
        <v>22</v>
      </c>
      <c r="V20" s="37" t="s">
        <v>23</v>
      </c>
      <c r="W20" s="21" t="s">
        <v>24</v>
      </c>
      <c r="X20" s="16" t="s">
        <v>25</v>
      </c>
    </row>
    <row r="21">
      <c r="A21" s="3" t="str">
        <f>IFERROR(__xludf.DUMMYFUNCTION("IMPORTRANGE(""https://docs.google.com/spreadsheets/d/1r4f38kmCy0wFTzoBJwABhAVM6gbEPwv1HgEiFItNXjY/"", ""Open Scores"")"),"OP-0057")</f>
        <v>OP-0057</v>
      </c>
      <c r="B21" s="22" t="str">
        <f>IFERROR(__xludf.DUMMYFUNCTION("""COMPUTED_VALUE"""),"Mendeljeff")</f>
        <v>Mendeljeff</v>
      </c>
      <c r="C21" s="23">
        <f>IFERROR(__xludf.DUMMYFUNCTION("""COMPUTED_VALUE"""),375.0)</f>
        <v>375</v>
      </c>
      <c r="D21" s="24">
        <f>IFERROR(__xludf.DUMMYFUNCTION("""COMPUTED_VALUE"""),54.0)</f>
        <v>54</v>
      </c>
      <c r="E21" s="24">
        <f>IFERROR(__xludf.DUMMYFUNCTION("""COMPUTED_VALUE"""),380.0)</f>
        <v>380</v>
      </c>
      <c r="F21" s="25">
        <f>IFERROR(__xludf.DUMMYFUNCTION("""COMPUTED_VALUE"""),377.5)</f>
        <v>377.5</v>
      </c>
      <c r="G21" s="26">
        <f>IFERROR(__xludf.DUMMYFUNCTION("""COMPUTED_VALUE"""),1.0)</f>
        <v>1</v>
      </c>
      <c r="H21" s="27">
        <f>IFERROR(__xludf.DUMMYFUNCTION("""COMPUTED_VALUE"""),0.9757775119617225)</f>
        <v>0.975777512</v>
      </c>
      <c r="I21" s="23" t="str">
        <f>IFERROR(__xludf.DUMMYFUNCTION("""COMPUTED_VALUE"""),"A")</f>
        <v>A</v>
      </c>
      <c r="J21" s="28">
        <f>IFERROR(__xludf.DUMMYFUNCTION("""COMPUTED_VALUE"""),2.0)</f>
        <v>2</v>
      </c>
      <c r="K21" s="29">
        <f>IFERROR(__xludf.DUMMYFUNCTION("""COMPUTED_VALUE"""),0.8333333333333334)</f>
        <v>0.8333333333</v>
      </c>
      <c r="L21" s="29">
        <f>IFERROR(__xludf.DUMMYFUNCTION("""COMPUTED_VALUE"""),0.8333333333333334)</f>
        <v>0.8333333333</v>
      </c>
      <c r="M21" s="30">
        <f>IFERROR(__xludf.DUMMYFUNCTION("""COMPUTED_VALUE"""),77.5)</f>
        <v>77.5</v>
      </c>
      <c r="N21" s="31">
        <f>IFERROR(__xludf.DUMMYFUNCTION("""COMPUTED_VALUE"""),0.775)</f>
        <v>0.775</v>
      </c>
      <c r="O21" s="26">
        <f>IFERROR(__xludf.DUMMYFUNCTION("""COMPUTED_VALUE"""),6.0)</f>
        <v>6</v>
      </c>
      <c r="P21" s="38"/>
      <c r="Q21" s="39"/>
      <c r="R21" s="39"/>
      <c r="S21" s="32"/>
      <c r="T21" s="40"/>
      <c r="U21" s="32"/>
      <c r="V21" s="41"/>
      <c r="W21" s="31">
        <f>IFERROR(__xludf.DUMMYFUNCTION("""COMPUTED_VALUE"""),1.8091108452950557)</f>
        <v>1.809110845</v>
      </c>
      <c r="X21" s="26">
        <f>IFERROR(__xludf.DUMMYFUNCTION("""COMPUTED_VALUE"""),1.0)</f>
        <v>1</v>
      </c>
    </row>
    <row r="22">
      <c r="A22" s="42" t="str">
        <f>IFERROR(__xludf.DUMMYFUNCTION("""COMPUTED_VALUE"""),"OP-0058")</f>
        <v>OP-0058</v>
      </c>
      <c r="B22" s="22" t="str">
        <f>IFERROR(__xludf.DUMMYFUNCTION("""COMPUTED_VALUE"""),"Cheese Wizards")</f>
        <v>Cheese Wizards</v>
      </c>
      <c r="C22" s="23">
        <f>IFERROR(__xludf.DUMMYFUNCTION("""COMPUTED_VALUE"""),0.0)</f>
        <v>0</v>
      </c>
      <c r="D22" s="24">
        <f>IFERROR(__xludf.DUMMYFUNCTION("""COMPUTED_VALUE"""),418.0)</f>
        <v>418</v>
      </c>
      <c r="E22" s="24">
        <f>IFERROR(__xludf.DUMMYFUNCTION("""COMPUTED_VALUE"""),46.0)</f>
        <v>46</v>
      </c>
      <c r="F22" s="25">
        <f>IFERROR(__xludf.DUMMYFUNCTION("""COMPUTED_VALUE"""),232.0)</f>
        <v>232</v>
      </c>
      <c r="G22" s="26">
        <f>IFERROR(__xludf.DUMMYFUNCTION("""COMPUTED_VALUE"""),2.0)</f>
        <v>2</v>
      </c>
      <c r="H22" s="27">
        <f>IFERROR(__xludf.DUMMYFUNCTION("""COMPUTED_VALUE"""),0.763755980861244)</f>
        <v>0.7637559809</v>
      </c>
      <c r="I22" s="23" t="str">
        <f>IFERROR(__xludf.DUMMYFUNCTION("""COMPUTED_VALUE"""),"A")</f>
        <v>A</v>
      </c>
      <c r="J22" s="28">
        <f>IFERROR(__xludf.DUMMYFUNCTION("""COMPUTED_VALUE"""),1.0)</f>
        <v>1</v>
      </c>
      <c r="K22" s="29">
        <f>IFERROR(__xludf.DUMMYFUNCTION("""COMPUTED_VALUE"""),1.0)</f>
        <v>1</v>
      </c>
      <c r="L22" s="29">
        <f>IFERROR(__xludf.DUMMYFUNCTION("""COMPUTED_VALUE"""),1.0)</f>
        <v>1</v>
      </c>
      <c r="M22" s="30">
        <f>IFERROR(__xludf.DUMMYFUNCTION("""COMPUTED_VALUE"""),87.5)</f>
        <v>87.5</v>
      </c>
      <c r="N22" s="31">
        <f>IFERROR(__xludf.DUMMYFUNCTION("""COMPUTED_VALUE"""),0.875)</f>
        <v>0.875</v>
      </c>
      <c r="O22" s="26">
        <f>IFERROR(__xludf.DUMMYFUNCTION("""COMPUTED_VALUE"""),4.0)</f>
        <v>4</v>
      </c>
      <c r="P22" s="38"/>
      <c r="Q22" s="39"/>
      <c r="R22" s="39"/>
      <c r="S22" s="32"/>
      <c r="T22" s="40"/>
      <c r="U22" s="32"/>
      <c r="V22" s="41"/>
      <c r="W22" s="31">
        <f>IFERROR(__xludf.DUMMYFUNCTION("""COMPUTED_VALUE"""),1.763755980861244)</f>
        <v>1.763755981</v>
      </c>
      <c r="X22" s="26">
        <f>IFERROR(__xludf.DUMMYFUNCTION("""COMPUTED_VALUE"""),2.0)</f>
        <v>2</v>
      </c>
    </row>
    <row r="23">
      <c r="A23" s="3" t="str">
        <f>IFERROR(__xludf.DUMMYFUNCTION("""COMPUTED_VALUE"""),"OP-0059")</f>
        <v>OP-0059</v>
      </c>
      <c r="B23" s="22" t="str">
        <f>IFERROR(__xludf.DUMMYFUNCTION("""COMPUTED_VALUE"""),"Snackkarotten")</f>
        <v>Snackkarotten</v>
      </c>
      <c r="C23" s="23">
        <f>IFERROR(__xludf.DUMMYFUNCTION("""COMPUTED_VALUE"""),369.0)</f>
        <v>369</v>
      </c>
      <c r="D23" s="24">
        <f>IFERROR(__xludf.DUMMYFUNCTION("""COMPUTED_VALUE"""),21.0)</f>
        <v>21</v>
      </c>
      <c r="E23" s="24">
        <f>IFERROR(__xludf.DUMMYFUNCTION("""COMPUTED_VALUE"""),15.0)</f>
        <v>15</v>
      </c>
      <c r="F23" s="25">
        <f>IFERROR(__xludf.DUMMYFUNCTION("""COMPUTED_VALUE"""),195.0)</f>
        <v>195</v>
      </c>
      <c r="G23" s="26">
        <f>IFERROR(__xludf.DUMMYFUNCTION("""COMPUTED_VALUE"""),3.0)</f>
        <v>3</v>
      </c>
      <c r="H23" s="27">
        <f>IFERROR(__xludf.DUMMYFUNCTION("""COMPUTED_VALUE"""),0.6166267942583732)</f>
        <v>0.6166267943</v>
      </c>
      <c r="I23" s="23" t="str">
        <f>IFERROR(__xludf.DUMMYFUNCTION("""COMPUTED_VALUE"""),"A")</f>
        <v>A</v>
      </c>
      <c r="J23" s="28">
        <f>IFERROR(__xludf.DUMMYFUNCTION("""COMPUTED_VALUE"""),3.0)</f>
        <v>3</v>
      </c>
      <c r="K23" s="29">
        <f>IFERROR(__xludf.DUMMYFUNCTION("""COMPUTED_VALUE"""),0.6666666666666667)</f>
        <v>0.6666666667</v>
      </c>
      <c r="L23" s="29">
        <f>IFERROR(__xludf.DUMMYFUNCTION("""COMPUTED_VALUE"""),0.6666666666666667)</f>
        <v>0.6666666667</v>
      </c>
      <c r="M23" s="30">
        <f>IFERROR(__xludf.DUMMYFUNCTION("""COMPUTED_VALUE"""),66.0)</f>
        <v>66</v>
      </c>
      <c r="N23" s="31">
        <f>IFERROR(__xludf.DUMMYFUNCTION("""COMPUTED_VALUE"""),0.66)</f>
        <v>0.66</v>
      </c>
      <c r="O23" s="26">
        <f>IFERROR(__xludf.DUMMYFUNCTION("""COMPUTED_VALUE"""),9.0)</f>
        <v>9</v>
      </c>
      <c r="P23" s="38"/>
      <c r="Q23" s="39"/>
      <c r="R23" s="39"/>
      <c r="S23" s="32"/>
      <c r="T23" s="40"/>
      <c r="U23" s="32"/>
      <c r="V23" s="41"/>
      <c r="W23" s="31">
        <f>IFERROR(__xludf.DUMMYFUNCTION("""COMPUTED_VALUE"""),1.28329346092504)</f>
        <v>1.283293461</v>
      </c>
      <c r="X23" s="26">
        <f>IFERROR(__xludf.DUMMYFUNCTION("""COMPUTED_VALUE"""),3.0)</f>
        <v>3</v>
      </c>
    </row>
    <row r="24">
      <c r="A24" s="3" t="str">
        <f>IFERROR(__xludf.DUMMYFUNCTION("""COMPUTED_VALUE"""),"OP-0047")</f>
        <v>OP-0047</v>
      </c>
      <c r="B24" s="22" t="str">
        <f>IFERROR(__xludf.DUMMYFUNCTION("""COMPUTED_VALUE"""),"Pfusch am Bot")</f>
        <v>Pfusch am Bot</v>
      </c>
      <c r="C24" s="23">
        <f>IFERROR(__xludf.DUMMYFUNCTION("""COMPUTED_VALUE"""),9.0)</f>
        <v>9</v>
      </c>
      <c r="D24" s="24">
        <f>IFERROR(__xludf.DUMMYFUNCTION("""COMPUTED_VALUE"""),24.0)</f>
        <v>24</v>
      </c>
      <c r="E24" s="24">
        <f>IFERROR(__xludf.DUMMYFUNCTION("""COMPUTED_VALUE"""),165.0)</f>
        <v>165</v>
      </c>
      <c r="F24" s="25">
        <f>IFERROR(__xludf.DUMMYFUNCTION("""COMPUTED_VALUE"""),94.5)</f>
        <v>94.5</v>
      </c>
      <c r="G24" s="26">
        <f>IFERROR(__xludf.DUMMYFUNCTION("""COMPUTED_VALUE"""),4.0)</f>
        <v>4</v>
      </c>
      <c r="H24" s="27">
        <f>IFERROR(__xludf.DUMMYFUNCTION("""COMPUTED_VALUE"""),0.43151913875598086)</f>
        <v>0.4315191388</v>
      </c>
      <c r="I24" s="23" t="str">
        <f>IFERROR(__xludf.DUMMYFUNCTION("""COMPUTED_VALUE"""),"A")</f>
        <v>A</v>
      </c>
      <c r="J24" s="28">
        <f>IFERROR(__xludf.DUMMYFUNCTION("""COMPUTED_VALUE"""),5.0)</f>
        <v>5</v>
      </c>
      <c r="K24" s="29">
        <f>IFERROR(__xludf.DUMMYFUNCTION("""COMPUTED_VALUE"""),0.33333333333333337)</f>
        <v>0.3333333333</v>
      </c>
      <c r="L24" s="29">
        <f>IFERROR(__xludf.DUMMYFUNCTION("""COMPUTED_VALUE"""),0.33333333333333337)</f>
        <v>0.3333333333</v>
      </c>
      <c r="M24" s="30">
        <f>IFERROR(__xludf.DUMMYFUNCTION("""COMPUTED_VALUE"""),73.0)</f>
        <v>73</v>
      </c>
      <c r="N24" s="31">
        <f>IFERROR(__xludf.DUMMYFUNCTION("""COMPUTED_VALUE"""),0.73)</f>
        <v>0.73</v>
      </c>
      <c r="O24" s="26">
        <f>IFERROR(__xludf.DUMMYFUNCTION("""COMPUTED_VALUE"""),7.0)</f>
        <v>7</v>
      </c>
      <c r="P24" s="38"/>
      <c r="Q24" s="39"/>
      <c r="R24" s="39"/>
      <c r="S24" s="32"/>
      <c r="T24" s="40"/>
      <c r="U24" s="32"/>
      <c r="V24" s="41"/>
      <c r="W24" s="31">
        <f>IFERROR(__xludf.DUMMYFUNCTION("""COMPUTED_VALUE"""),0.7648524720893142)</f>
        <v>0.7648524721</v>
      </c>
      <c r="X24" s="26">
        <f>IFERROR(__xludf.DUMMYFUNCTION("""COMPUTED_VALUE"""),4.0)</f>
        <v>4</v>
      </c>
    </row>
    <row r="25">
      <c r="A25" s="4" t="str">
        <f>IFERROR(__xludf.DUMMYFUNCTION("""COMPUTED_VALUE"""),"OP-0055")</f>
        <v>OP-0055</v>
      </c>
      <c r="B25" s="22" t="str">
        <f>IFERROR(__xludf.DUMMYFUNCTION("""COMPUTED_VALUE"""),"French Bakery")</f>
        <v>French Bakery</v>
      </c>
      <c r="C25" s="23">
        <f>IFERROR(__xludf.DUMMYFUNCTION("""COMPUTED_VALUE"""),13.0)</f>
        <v>13</v>
      </c>
      <c r="D25" s="24">
        <f>IFERROR(__xludf.DUMMYFUNCTION("""COMPUTED_VALUE"""),14.0)</f>
        <v>14</v>
      </c>
      <c r="E25" s="24">
        <f>IFERROR(__xludf.DUMMYFUNCTION("""COMPUTED_VALUE"""),14.0)</f>
        <v>14</v>
      </c>
      <c r="F25" s="25">
        <f>IFERROR(__xludf.DUMMYFUNCTION("""COMPUTED_VALUE"""),14.0)</f>
        <v>14</v>
      </c>
      <c r="G25" s="26">
        <f>IFERROR(__xludf.DUMMYFUNCTION("""COMPUTED_VALUE"""),5.0)</f>
        <v>5</v>
      </c>
      <c r="H25" s="27">
        <f>IFERROR(__xludf.DUMMYFUNCTION("""COMPUTED_VALUE"""),0.2583732057416268)</f>
        <v>0.2583732057</v>
      </c>
      <c r="I25" s="23" t="str">
        <f>IFERROR(__xludf.DUMMYFUNCTION("""COMPUTED_VALUE"""),"A")</f>
        <v>A</v>
      </c>
      <c r="J25" s="28">
        <f>IFERROR(__xludf.DUMMYFUNCTION("""COMPUTED_VALUE"""),4.0)</f>
        <v>4</v>
      </c>
      <c r="K25" s="29">
        <f>IFERROR(__xludf.DUMMYFUNCTION("""COMPUTED_VALUE"""),0.5)</f>
        <v>0.5</v>
      </c>
      <c r="L25" s="29">
        <f>IFERROR(__xludf.DUMMYFUNCTION("""COMPUTED_VALUE"""),0.5)</f>
        <v>0.5</v>
      </c>
      <c r="M25" s="30"/>
      <c r="N25" s="31">
        <f>IFERROR(__xludf.DUMMYFUNCTION("""COMPUTED_VALUE"""),0.0)</f>
        <v>0</v>
      </c>
      <c r="O25" s="26">
        <f>IFERROR(__xludf.DUMMYFUNCTION("""COMPUTED_VALUE"""),17.0)</f>
        <v>17</v>
      </c>
      <c r="P25" s="38"/>
      <c r="Q25" s="39"/>
      <c r="R25" s="39"/>
      <c r="S25" s="32"/>
      <c r="T25" s="40"/>
      <c r="U25" s="32"/>
      <c r="V25" s="41"/>
      <c r="W25" s="31">
        <f>IFERROR(__xludf.DUMMYFUNCTION("""COMPUTED_VALUE"""),0.7583732057416268)</f>
        <v>0.7583732057</v>
      </c>
      <c r="X25" s="26">
        <f>IFERROR(__xludf.DUMMYFUNCTION("""COMPUTED_VALUE"""),5.0)</f>
        <v>5</v>
      </c>
    </row>
    <row r="26">
      <c r="A26" s="3" t="str">
        <f>IFERROR(__xludf.DUMMYFUNCTION("""COMPUTED_VALUE"""),"OP-0060")</f>
        <v>OP-0060</v>
      </c>
      <c r="B26" s="22" t="str">
        <f>IFERROR(__xludf.DUMMYFUNCTION("""COMPUTED_VALUE"""),"GGOpen")</f>
        <v>GGOpen</v>
      </c>
      <c r="C26" s="23">
        <f>IFERROR(__xludf.DUMMYFUNCTION("""COMPUTED_VALUE"""),8.0)</f>
        <v>8</v>
      </c>
      <c r="D26" s="24">
        <f>IFERROR(__xludf.DUMMYFUNCTION("""COMPUTED_VALUE"""),7.0)</f>
        <v>7</v>
      </c>
      <c r="E26" s="24">
        <f>IFERROR(__xludf.DUMMYFUNCTION("""COMPUTED_VALUE"""),11.0)</f>
        <v>11</v>
      </c>
      <c r="F26" s="25">
        <f>IFERROR(__xludf.DUMMYFUNCTION("""COMPUTED_VALUE"""),9.5)</f>
        <v>9.5</v>
      </c>
      <c r="G26" s="26">
        <f>IFERROR(__xludf.DUMMYFUNCTION("""COMPUTED_VALUE"""),6.0)</f>
        <v>6</v>
      </c>
      <c r="H26" s="27">
        <f>IFERROR(__xludf.DUMMYFUNCTION("""COMPUTED_VALUE"""),0.13068181818181815)</f>
        <v>0.1306818182</v>
      </c>
      <c r="I26" s="23" t="str">
        <f>IFERROR(__xludf.DUMMYFUNCTION("""COMPUTED_VALUE"""),"A")</f>
        <v>A</v>
      </c>
      <c r="J26" s="28">
        <f>IFERROR(__xludf.DUMMYFUNCTION("""COMPUTED_VALUE"""),5.0)</f>
        <v>5</v>
      </c>
      <c r="K26" s="29">
        <f>IFERROR(__xludf.DUMMYFUNCTION("""COMPUTED_VALUE"""),0.33333333333333337)</f>
        <v>0.3333333333</v>
      </c>
      <c r="L26" s="29">
        <f>IFERROR(__xludf.DUMMYFUNCTION("""COMPUTED_VALUE"""),0.33333333333333337)</f>
        <v>0.3333333333</v>
      </c>
      <c r="M26" s="30"/>
      <c r="N26" s="31">
        <f>IFERROR(__xludf.DUMMYFUNCTION("""COMPUTED_VALUE"""),0.0)</f>
        <v>0</v>
      </c>
      <c r="O26" s="26">
        <f>IFERROR(__xludf.DUMMYFUNCTION("""COMPUTED_VALUE"""),17.0)</f>
        <v>17</v>
      </c>
      <c r="P26" s="38"/>
      <c r="Q26" s="39"/>
      <c r="R26" s="39"/>
      <c r="S26" s="32"/>
      <c r="T26" s="40"/>
      <c r="U26" s="32"/>
      <c r="V26" s="41"/>
      <c r="W26" s="31">
        <f>IFERROR(__xludf.DUMMYFUNCTION("""COMPUTED_VALUE"""),0.4640151515151515)</f>
        <v>0.4640151515</v>
      </c>
      <c r="X26" s="26">
        <f>IFERROR(__xludf.DUMMYFUNCTION("""COMPUTED_VALUE"""),6.0)</f>
        <v>6</v>
      </c>
    </row>
    <row r="27">
      <c r="A27" s="43"/>
      <c r="B27" s="43"/>
      <c r="C27" s="44"/>
      <c r="D27" s="43"/>
      <c r="E27" s="43"/>
      <c r="F27" s="44"/>
      <c r="G27" s="45"/>
      <c r="H27" s="43"/>
      <c r="I27" s="44"/>
      <c r="J27" s="45"/>
      <c r="K27" s="43"/>
      <c r="L27" s="43"/>
      <c r="M27" s="44"/>
      <c r="N27" s="44"/>
      <c r="O27" s="45"/>
      <c r="P27" s="44"/>
      <c r="Q27" s="43"/>
      <c r="R27" s="43"/>
      <c r="S27" s="46"/>
      <c r="T27" s="44"/>
      <c r="U27" s="43"/>
      <c r="V27" s="45"/>
      <c r="W27" s="44"/>
      <c r="X27" s="45"/>
    </row>
  </sheetData>
  <dataValidations>
    <dataValidation type="custom" allowBlank="1" showDropDown="1" sqref="F3:F18 H3:H18 K3:N18 T3:U18 F21:F26 H21:H26 K21:N26">
      <formula1>AND(ISNUMBER(F3),(NOT(OR(NOT(ISERROR(DATEVALUE(F3))), AND(ISNUMBER(F3), LEFT(CELL("format", F3))="D")))))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20.75"/>
    <col customWidth="1" min="3" max="8" width="7.63"/>
    <col customWidth="1" min="9" max="9" width="3.5"/>
  </cols>
  <sheetData>
    <row r="1">
      <c r="A1" s="1"/>
      <c r="B1" s="1"/>
      <c r="C1" s="1"/>
      <c r="D1" s="1"/>
      <c r="E1" s="1"/>
      <c r="F1" s="1"/>
      <c r="G1" s="1"/>
      <c r="H1" s="47"/>
    </row>
    <row r="2" ht="65.25" customHeight="1">
      <c r="A2" s="14" t="s">
        <v>0</v>
      </c>
      <c r="B2" s="14" t="s">
        <v>1</v>
      </c>
      <c r="C2" s="15" t="s">
        <v>26</v>
      </c>
      <c r="D2" s="14" t="s">
        <v>27</v>
      </c>
      <c r="E2" s="14" t="s">
        <v>28</v>
      </c>
      <c r="F2" s="48" t="s">
        <v>29</v>
      </c>
      <c r="G2" s="49" t="s">
        <v>30</v>
      </c>
      <c r="H2" s="50" t="s">
        <v>31</v>
      </c>
      <c r="I2" s="51"/>
    </row>
    <row r="3">
      <c r="A3" s="3" t="str">
        <f>IFERROR(__xludf.DUMMYFUNCTION("IMPORTRANGE(""https://docs.google.com/spreadsheets/d/1r4f38kmCy0wFTzoBJwABhAVM6gbEPwv1HgEiFItNXjY/"", ""Aerial Scores"")"),"AE-0002")</f>
        <v>AE-0002</v>
      </c>
      <c r="B3" s="22" t="str">
        <f>IFERROR(__xludf.DUMMYFUNCTION("""COMPUTED_VALUE"""),"Flying Hirsch")</f>
        <v>Flying Hirsch</v>
      </c>
      <c r="C3" s="52">
        <f>IFERROR(__xludf.DUMMYFUNCTION("""COMPUTED_VALUE"""),350.0)</f>
        <v>350</v>
      </c>
      <c r="D3" s="3">
        <f>IFERROR(__xludf.DUMMYFUNCTION("""COMPUTED_VALUE"""),330.0)</f>
        <v>330</v>
      </c>
      <c r="E3" s="3">
        <f>IFERROR(__xludf.DUMMYFUNCTION("""COMPUTED_VALUE"""),160.0)</f>
        <v>160</v>
      </c>
      <c r="F3" s="3">
        <f>IFERROR(__xludf.DUMMYFUNCTION("""COMPUTED_VALUE"""),150.0)</f>
        <v>150</v>
      </c>
      <c r="G3" s="31">
        <f>IFERROR(__xludf.DUMMYFUNCTION("""COMPUTED_VALUE"""),247.5)</f>
        <v>247.5</v>
      </c>
      <c r="H3" s="26">
        <f>IFERROR(__xludf.DUMMYFUNCTION("""COMPUTED_VALUE"""),2.0)</f>
        <v>2</v>
      </c>
    </row>
    <row r="4">
      <c r="A4" s="3" t="str">
        <f>IFERROR(__xludf.DUMMYFUNCTION("""COMPUTED_VALUE"""),"AE-0005")</f>
        <v>AE-0005</v>
      </c>
      <c r="B4" s="3" t="str">
        <f>IFERROR(__xludf.DUMMYFUNCTION("""COMPUTED_VALUE"""),"SkilledFighters")</f>
        <v>SkilledFighters</v>
      </c>
      <c r="C4" s="53">
        <f>IFERROR(__xludf.DUMMYFUNCTION("""COMPUTED_VALUE"""),175.0)</f>
        <v>175</v>
      </c>
      <c r="D4" s="3">
        <f>IFERROR(__xludf.DUMMYFUNCTION("""COMPUTED_VALUE"""),80.0)</f>
        <v>80</v>
      </c>
      <c r="E4" s="3">
        <f>IFERROR(__xludf.DUMMYFUNCTION("""COMPUTED_VALUE"""),70.0)</f>
        <v>70</v>
      </c>
      <c r="F4" s="3">
        <f>IFERROR(__xludf.DUMMYFUNCTION("""COMPUTED_VALUE"""),65.0)</f>
        <v>65</v>
      </c>
      <c r="G4" s="31">
        <f>IFERROR(__xludf.DUMMYFUNCTION("""COMPUTED_VALUE"""),97.5)</f>
        <v>97.5</v>
      </c>
      <c r="H4" s="26">
        <f>IFERROR(__xludf.DUMMYFUNCTION("""COMPUTED_VALUE"""),5.0)</f>
        <v>5</v>
      </c>
    </row>
    <row r="5">
      <c r="A5" s="3" t="str">
        <f>IFERROR(__xludf.DUMMYFUNCTION("""COMPUTED_VALUE"""),"AE-0006")</f>
        <v>AE-0006</v>
      </c>
      <c r="B5" s="3" t="str">
        <f>IFERROR(__xludf.DUMMYFUNCTION("""COMPUTED_VALUE"""),"Die Dronaten")</f>
        <v>Die Dronaten</v>
      </c>
      <c r="C5" s="53">
        <f>IFERROR(__xludf.DUMMYFUNCTION("""COMPUTED_VALUE"""),30.0)</f>
        <v>30</v>
      </c>
      <c r="D5" s="3">
        <f>IFERROR(__xludf.DUMMYFUNCTION("""COMPUTED_VALUE"""),30.0)</f>
        <v>30</v>
      </c>
      <c r="E5" s="3">
        <f>IFERROR(__xludf.DUMMYFUNCTION("""COMPUTED_VALUE"""),30.0)</f>
        <v>30</v>
      </c>
      <c r="F5" s="3">
        <f>IFERROR(__xludf.DUMMYFUNCTION("""COMPUTED_VALUE"""),20.0)</f>
        <v>20</v>
      </c>
      <c r="G5" s="31">
        <f>IFERROR(__xludf.DUMMYFUNCTION("""COMPUTED_VALUE"""),27.5)</f>
        <v>27.5</v>
      </c>
      <c r="H5" s="26">
        <f>IFERROR(__xludf.DUMMYFUNCTION("""COMPUTED_VALUE"""),9.0)</f>
        <v>9</v>
      </c>
    </row>
    <row r="6">
      <c r="A6" s="3" t="str">
        <f>IFERROR(__xludf.DUMMYFUNCTION("""COMPUTED_VALUE"""),"AE-0007")</f>
        <v>AE-0007</v>
      </c>
      <c r="B6" s="3" t="str">
        <f>IFERROR(__xludf.DUMMYFUNCTION("""COMPUTED_VALUE"""),"GGAerial")</f>
        <v>GGAerial</v>
      </c>
      <c r="C6" s="53">
        <f>IFERROR(__xludf.DUMMYFUNCTION("""COMPUTED_VALUE"""),160.0)</f>
        <v>160</v>
      </c>
      <c r="D6" s="3">
        <f>IFERROR(__xludf.DUMMYFUNCTION("""COMPUTED_VALUE"""),30.0)</f>
        <v>30</v>
      </c>
      <c r="E6" s="3">
        <f>IFERROR(__xludf.DUMMYFUNCTION("""COMPUTED_VALUE"""),20.0)</f>
        <v>20</v>
      </c>
      <c r="F6" s="3">
        <f>IFERROR(__xludf.DUMMYFUNCTION("""COMPUTED_VALUE"""),10.0)</f>
        <v>10</v>
      </c>
      <c r="G6" s="31">
        <f>IFERROR(__xludf.DUMMYFUNCTION("""COMPUTED_VALUE"""),55.0)</f>
        <v>55</v>
      </c>
      <c r="H6" s="26">
        <f>IFERROR(__xludf.DUMMYFUNCTION("""COMPUTED_VALUE"""),7.0)</f>
        <v>7</v>
      </c>
    </row>
    <row r="7">
      <c r="A7" s="3" t="str">
        <f>IFERROR(__xludf.DUMMYFUNCTION("""COMPUTED_VALUE"""),"AE-0008")</f>
        <v>AE-0008</v>
      </c>
      <c r="B7" s="3" t="str">
        <f>IFERROR(__xludf.DUMMYFUNCTION("""COMPUTED_VALUE"""),"Rieleck Prime")</f>
        <v>Rieleck Prime</v>
      </c>
      <c r="C7" s="53">
        <f>IFERROR(__xludf.DUMMYFUNCTION("""COMPUTED_VALUE"""),310.0)</f>
        <v>310</v>
      </c>
      <c r="D7" s="3">
        <f>IFERROR(__xludf.DUMMYFUNCTION("""COMPUTED_VALUE"""),70.0)</f>
        <v>70</v>
      </c>
      <c r="E7" s="3">
        <f>IFERROR(__xludf.DUMMYFUNCTION("""COMPUTED_VALUE"""),50.0)</f>
        <v>50</v>
      </c>
      <c r="F7" s="3">
        <f>IFERROR(__xludf.DUMMYFUNCTION("""COMPUTED_VALUE"""),30.0)</f>
        <v>30</v>
      </c>
      <c r="G7" s="31">
        <f>IFERROR(__xludf.DUMMYFUNCTION("""COMPUTED_VALUE"""),115.0)</f>
        <v>115</v>
      </c>
      <c r="H7" s="26">
        <f>IFERROR(__xludf.DUMMYFUNCTION("""COMPUTED_VALUE"""),3.0)</f>
        <v>3</v>
      </c>
    </row>
    <row r="8">
      <c r="A8" s="3" t="str">
        <f>IFERROR(__xludf.DUMMYFUNCTION("""COMPUTED_VALUE"""),"AE-0009")</f>
        <v>AE-0009</v>
      </c>
      <c r="B8" s="3" t="str">
        <f>IFERROR(__xludf.DUMMYFUNCTION("""COMPUTED_VALUE"""),"BRG Gröhrmühlgasse")</f>
        <v>BRG Gröhrmühlgasse</v>
      </c>
      <c r="C8" s="53">
        <f>IFERROR(__xludf.DUMMYFUNCTION("""COMPUTED_VALUE"""),330.0)</f>
        <v>330</v>
      </c>
      <c r="D8" s="3">
        <f>IFERROR(__xludf.DUMMYFUNCTION("""COMPUTED_VALUE"""),330.0)</f>
        <v>330</v>
      </c>
      <c r="E8" s="3">
        <f>IFERROR(__xludf.DUMMYFUNCTION("""COMPUTED_VALUE"""),330.0)</f>
        <v>330</v>
      </c>
      <c r="F8" s="3">
        <f>IFERROR(__xludf.DUMMYFUNCTION("""COMPUTED_VALUE"""),210.0)</f>
        <v>210</v>
      </c>
      <c r="G8" s="31">
        <f>IFERROR(__xludf.DUMMYFUNCTION("""COMPUTED_VALUE"""),300.0)</f>
        <v>300</v>
      </c>
      <c r="H8" s="26">
        <f>IFERROR(__xludf.DUMMYFUNCTION("""COMPUTED_VALUE"""),1.0)</f>
        <v>1</v>
      </c>
    </row>
    <row r="9">
      <c r="A9" s="3" t="str">
        <f>IFERROR(__xludf.DUMMYFUNCTION("""COMPUTED_VALUE"""),"AE-0010")</f>
        <v>AE-0010</v>
      </c>
      <c r="B9" s="3" t="str">
        <f>IFERROR(__xludf.DUMMYFUNCTION("""COMPUTED_VALUE"""),"CrazyDrone")</f>
        <v>CrazyDrone</v>
      </c>
      <c r="C9" s="53">
        <f>IFERROR(__xludf.DUMMYFUNCTION("""COMPUTED_VALUE"""),135.0)</f>
        <v>135</v>
      </c>
      <c r="D9" s="3">
        <f>IFERROR(__xludf.DUMMYFUNCTION("""COMPUTED_VALUE"""),115.0)</f>
        <v>115</v>
      </c>
      <c r="E9" s="3">
        <f>IFERROR(__xludf.DUMMYFUNCTION("""COMPUTED_VALUE"""),65.0)</f>
        <v>65</v>
      </c>
      <c r="F9" s="3">
        <f>IFERROR(__xludf.DUMMYFUNCTION("""COMPUTED_VALUE"""),65.0)</f>
        <v>65</v>
      </c>
      <c r="G9" s="31">
        <f>IFERROR(__xludf.DUMMYFUNCTION("""COMPUTED_VALUE"""),95.0)</f>
        <v>95</v>
      </c>
      <c r="H9" s="26">
        <f>IFERROR(__xludf.DUMMYFUNCTION("""COMPUTED_VALUE"""),6.0)</f>
        <v>6</v>
      </c>
    </row>
    <row r="10">
      <c r="A10" s="3" t="str">
        <f>IFERROR(__xludf.DUMMYFUNCTION("""COMPUTED_VALUE"""),"AE-0011")</f>
        <v>AE-0011</v>
      </c>
      <c r="B10" s="3" t="str">
        <f>IFERROR(__xludf.DUMMYFUNCTION("""COMPUTED_VALUE"""),"LAVAdrone")</f>
        <v>LAVAdrone</v>
      </c>
      <c r="C10" s="53">
        <f>IFERROR(__xludf.DUMMYFUNCTION("""COMPUTED_VALUE"""),60.0)</f>
        <v>60</v>
      </c>
      <c r="D10" s="3">
        <f>IFERROR(__xludf.DUMMYFUNCTION("""COMPUTED_VALUE"""),30.0)</f>
        <v>30</v>
      </c>
      <c r="E10" s="3">
        <f>IFERROR(__xludf.DUMMYFUNCTION("""COMPUTED_VALUE"""),30.0)</f>
        <v>30</v>
      </c>
      <c r="F10" s="3">
        <f>IFERROR(__xludf.DUMMYFUNCTION("""COMPUTED_VALUE"""),20.0)</f>
        <v>20</v>
      </c>
      <c r="G10" s="31">
        <f>IFERROR(__xludf.DUMMYFUNCTION("""COMPUTED_VALUE"""),35.0)</f>
        <v>35</v>
      </c>
      <c r="H10" s="26">
        <f>IFERROR(__xludf.DUMMYFUNCTION("""COMPUTED_VALUE"""),8.0)</f>
        <v>8</v>
      </c>
    </row>
    <row r="11">
      <c r="A11" s="3" t="str">
        <f>IFERROR(__xludf.DUMMYFUNCTION("""COMPUTED_VALUE"""),"AE-0012")</f>
        <v>AE-0012</v>
      </c>
      <c r="B11" s="3" t="str">
        <f>IFERROR(__xludf.DUMMYFUNCTION("""COMPUTED_VALUE"""),"TGM Arial")</f>
        <v>TGM Arial</v>
      </c>
      <c r="C11" s="53">
        <f>IFERROR(__xludf.DUMMYFUNCTION("""COMPUTED_VALUE"""),170.0)</f>
        <v>170</v>
      </c>
      <c r="D11" s="3">
        <f>IFERROR(__xludf.DUMMYFUNCTION("""COMPUTED_VALUE"""),170.0)</f>
        <v>170</v>
      </c>
      <c r="E11" s="3">
        <f>IFERROR(__xludf.DUMMYFUNCTION("""COMPUTED_VALUE"""),60.0)</f>
        <v>60</v>
      </c>
      <c r="F11" s="3">
        <f>IFERROR(__xludf.DUMMYFUNCTION("""COMPUTED_VALUE"""),50.0)</f>
        <v>50</v>
      </c>
      <c r="G11" s="31">
        <f>IFERROR(__xludf.DUMMYFUNCTION("""COMPUTED_VALUE"""),112.5)</f>
        <v>112.5</v>
      </c>
      <c r="H11" s="26">
        <f>IFERROR(__xludf.DUMMYFUNCTION("""COMPUTED_VALUE"""),4.0)</f>
        <v>4</v>
      </c>
    </row>
    <row r="12">
      <c r="C12" s="54"/>
      <c r="G12" s="54"/>
      <c r="H12" s="55"/>
    </row>
  </sheetData>
  <dataValidations>
    <dataValidation type="custom" allowBlank="1" showDropDown="1" sqref="G3:G11">
      <formula1>AND(ISNUMBER(G3),(NOT(OR(NOT(ISERROR(DATEVALUE(G3))), AND(ISNUMBER(G3), LEFT(CELL("format", G3))="D")))))</formula1>
    </dataValidation>
  </dataValidations>
  <drawing r:id="rId1"/>
  <tableParts count="1">
    <tablePart r:id="rId3"/>
  </tableParts>
</worksheet>
</file>