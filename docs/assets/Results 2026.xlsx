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Botball &amp; Open" sheetId="2" r:id="rId6"/>
    <sheet state="visible" name="Aerial" sheetId="3" r:id="rId7"/>
    <sheet state="visible" name="Alliance" sheetId="4" r:id="rId8"/>
    <sheet state="visible" name="Junior Botball Challenge" sheetId="5" r:id="rId9"/>
  </sheets>
  <definedNames/>
  <calcPr/>
</workbook>
</file>

<file path=xl/sharedStrings.xml><?xml version="1.0" encoding="utf-8"?>
<sst xmlns="http://schemas.openxmlformats.org/spreadsheetml/2006/main" count="309" uniqueCount="163">
  <si>
    <t>Team ID</t>
  </si>
  <si>
    <t>Team Name</t>
  </si>
  <si>
    <t>Run 1</t>
  </si>
  <si>
    <t>Run 2</t>
  </si>
  <si>
    <t>Rank</t>
  </si>
  <si>
    <t>Run 3</t>
  </si>
  <si>
    <t>Run 4</t>
  </si>
  <si>
    <t>Run 5</t>
  </si>
  <si>
    <t>Run 6</t>
  </si>
  <si>
    <t>AL-0001</t>
  </si>
  <si>
    <t>Score</t>
  </si>
  <si>
    <t>AE-0013</t>
  </si>
  <si>
    <t>Country</t>
  </si>
  <si>
    <t>Organization</t>
  </si>
  <si>
    <t>26-0188</t>
  </si>
  <si>
    <t>ByteMe</t>
  </si>
  <si>
    <t>Austria</t>
  </si>
  <si>
    <t>HTL Wiener Neustadt/F-WuTS</t>
  </si>
  <si>
    <t>26-0340</t>
  </si>
  <si>
    <t>Failure Management</t>
  </si>
  <si>
    <t>United States of America</t>
  </si>
  <si>
    <t>The Rhoades Middle School</t>
  </si>
  <si>
    <t>26-0367</t>
  </si>
  <si>
    <t>Seeding 1</t>
  </si>
  <si>
    <t>ProbablyLast</t>
  </si>
  <si>
    <t>Seeding 2</t>
  </si>
  <si>
    <t>TGM</t>
  </si>
  <si>
    <t>Seeding 3</t>
  </si>
  <si>
    <t>26-0397</t>
  </si>
  <si>
    <t>Seeding Total</t>
  </si>
  <si>
    <t>Botbusters Saalfelden</t>
  </si>
  <si>
    <t>Seeding Rank</t>
  </si>
  <si>
    <t>HTL Saalfelden</t>
  </si>
  <si>
    <t>Seeding Score</t>
  </si>
  <si>
    <t>26-0602</t>
  </si>
  <si>
    <t>Cheese Wizards</t>
  </si>
  <si>
    <t>DE Rank</t>
  </si>
  <si>
    <t>DE Score</t>
  </si>
  <si>
    <t>AL-0002</t>
  </si>
  <si>
    <t>Paper</t>
  </si>
  <si>
    <t>26-0603</t>
  </si>
  <si>
    <t>Paper Score</t>
  </si>
  <si>
    <t>TechSupport</t>
  </si>
  <si>
    <t>Paper Rank</t>
  </si>
  <si>
    <t>Doc P1</t>
  </si>
  <si>
    <t>26-0604</t>
  </si>
  <si>
    <t>Doc P2</t>
  </si>
  <si>
    <t>AXHT3085/3</t>
  </si>
  <si>
    <t>Doc P3</t>
  </si>
  <si>
    <t>HTL St. Pölten</t>
  </si>
  <si>
    <t>Onsite</t>
  </si>
  <si>
    <t>26-0610</t>
  </si>
  <si>
    <t>Doc Score</t>
  </si>
  <si>
    <t>Die Hackler</t>
  </si>
  <si>
    <t>Doc+Paper Score</t>
  </si>
  <si>
    <t>Doc+Paper Rank</t>
  </si>
  <si>
    <t>HTL Anichstraße</t>
  </si>
  <si>
    <t>Overall Score</t>
  </si>
  <si>
    <t>26-0617</t>
  </si>
  <si>
    <t>Overall Rank</t>
  </si>
  <si>
    <t>Lord of the Bots</t>
  </si>
  <si>
    <t>AE-0011</t>
  </si>
  <si>
    <t>AL-0003</t>
  </si>
  <si>
    <t>26-0620</t>
  </si>
  <si>
    <t>Pfuscher</t>
  </si>
  <si>
    <t>26-0622</t>
  </si>
  <si>
    <t>Teamname to be announced</t>
  </si>
  <si>
    <t>HTL Dornbirn</t>
  </si>
  <si>
    <t>26-0624</t>
  </si>
  <si>
    <t>roboDIC</t>
  </si>
  <si>
    <t>htl donaustadt</t>
  </si>
  <si>
    <t>26-0625</t>
  </si>
  <si>
    <t>NotImplementedException</t>
  </si>
  <si>
    <t>HTL Litec</t>
  </si>
  <si>
    <t>AL-0004</t>
  </si>
  <si>
    <t>26-0628</t>
  </si>
  <si>
    <t>LiTec-3ABHIT</t>
  </si>
  <si>
    <t>26-0629</t>
  </si>
  <si>
    <t>Kurzschlusskommando</t>
  </si>
  <si>
    <t>AE-0014</t>
  </si>
  <si>
    <t>26-0635</t>
  </si>
  <si>
    <t>6502 Squirrels</t>
  </si>
  <si>
    <t>AL-0005</t>
  </si>
  <si>
    <t>26-0663</t>
  </si>
  <si>
    <t>Titan</t>
  </si>
  <si>
    <t>China</t>
  </si>
  <si>
    <t>Hugo Robotics Club</t>
  </si>
  <si>
    <t>26-0787</t>
  </si>
  <si>
    <t>Hammered Screws</t>
  </si>
  <si>
    <t>Rhoades Middle School</t>
  </si>
  <si>
    <t>AL-0006</t>
  </si>
  <si>
    <t>AE-0015</t>
  </si>
  <si>
    <t>OP-0059</t>
  </si>
  <si>
    <t>Snackkarotten</t>
  </si>
  <si>
    <t>AL-0007</t>
  </si>
  <si>
    <t>OP-0061</t>
  </si>
  <si>
    <t>Error0x43</t>
  </si>
  <si>
    <t>OP-0062</t>
  </si>
  <si>
    <t>SAYAS</t>
  </si>
  <si>
    <t>OP-0063</t>
  </si>
  <si>
    <t>CursedBytes</t>
  </si>
  <si>
    <t>OP-0064</t>
  </si>
  <si>
    <t>AE-0016</t>
  </si>
  <si>
    <t>Tracer</t>
  </si>
  <si>
    <t>OP-0065</t>
  </si>
  <si>
    <t>Inchident</t>
  </si>
  <si>
    <t>OP-0066</t>
  </si>
  <si>
    <t>Abmeldekommando</t>
  </si>
  <si>
    <t>HTL Villach</t>
  </si>
  <si>
    <t>OP-0067</t>
  </si>
  <si>
    <t>Cyber Warrior III</t>
  </si>
  <si>
    <t>AE-0017</t>
  </si>
  <si>
    <t>Drone Masters</t>
  </si>
  <si>
    <t>Points for Solved Challenges</t>
  </si>
  <si>
    <t>MS Ebenfurth</t>
  </si>
  <si>
    <t>JBC-001</t>
  </si>
  <si>
    <t>Lavadrone</t>
  </si>
  <si>
    <t>EVA-01</t>
  </si>
  <si>
    <t>BRG Gröhrmühlgasse Wiener Neustadt</t>
  </si>
  <si>
    <t>Die blauen Bananen</t>
  </si>
  <si>
    <t>AE-0018</t>
  </si>
  <si>
    <t>Custodis Aeris</t>
  </si>
  <si>
    <t>BGZ1</t>
  </si>
  <si>
    <t>BG Zehnergasse</t>
  </si>
  <si>
    <t>JBC-002</t>
  </si>
  <si>
    <t>BGZ2</t>
  </si>
  <si>
    <t>3aSiegharts_A</t>
  </si>
  <si>
    <t>MINT MS Sieghartskirchen</t>
  </si>
  <si>
    <t>3aSiegharts_B</t>
  </si>
  <si>
    <t>JBC-003</t>
  </si>
  <si>
    <t>Mr_PC</t>
  </si>
  <si>
    <t>Mary Ward Privatgymnasium und ORG, St. Pölten</t>
  </si>
  <si>
    <t>JBC-004</t>
  </si>
  <si>
    <t>TucTucTuTu</t>
  </si>
  <si>
    <t>JBC-005</t>
  </si>
  <si>
    <t>Hackerjavi</t>
  </si>
  <si>
    <t>JBC-006</t>
  </si>
  <si>
    <t>Duzen</t>
  </si>
  <si>
    <t>JBC-007</t>
  </si>
  <si>
    <t>Jamo</t>
  </si>
  <si>
    <t>JBC-008</t>
  </si>
  <si>
    <t>Biis</t>
  </si>
  <si>
    <t>Dr. Theodor Körner 1 MINT</t>
  </si>
  <si>
    <t>JBC-009</t>
  </si>
  <si>
    <t>BEst SIlent CHaos</t>
  </si>
  <si>
    <t>MS Böheimkirchen</t>
  </si>
  <si>
    <t>JBC-010</t>
  </si>
  <si>
    <t>JBC-011</t>
  </si>
  <si>
    <t>SK_Lation</t>
  </si>
  <si>
    <t>JBC-012</t>
  </si>
  <si>
    <t>Robtik8</t>
  </si>
  <si>
    <t>EMS Prinzersdorf</t>
  </si>
  <si>
    <t>JBC-013</t>
  </si>
  <si>
    <t>EMS Prinzersdorf 1</t>
  </si>
  <si>
    <t>JBC-014</t>
  </si>
  <si>
    <t>EMS Prinzersdorf 2</t>
  </si>
  <si>
    <t>roboDIC &amp; cursedBytes</t>
  </si>
  <si>
    <t>Pfuscher &amp; Failure Management</t>
  </si>
  <si>
    <t>Die Hackler &amp; NotImplementedException</t>
  </si>
  <si>
    <t>Hammered Screws &amp; Cyber Warrior III</t>
  </si>
  <si>
    <t>Lord of the Bots &amp; tracer</t>
  </si>
  <si>
    <t>Teamname to be announced &amp; Abmeldekommando</t>
  </si>
  <si>
    <t>LiTec-3ABHIT &amp; Titan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</si>
</sst>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rgb="FF356854"/>
      <name val="Arial"/>
      <scheme val="minor"/>
    </font>
    <font>
      <b/>
      <color rgb="FF356854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742932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textRotation="75" vertical="center" wrapText="1"/>
    </xf>
    <xf borderId="1" fillId="0" fontId="1" numFmtId="0" xfId="0" applyAlignment="1" applyBorder="1" applyFont="1">
      <alignment horizontal="left" readingOrder="0" shrinkToFit="0" textRotation="75" vertical="center" wrapText="1"/>
    </xf>
    <xf borderId="1" fillId="0" fontId="2" numFmtId="49" xfId="0" applyAlignment="1" applyBorder="1" applyFont="1" applyNumberFormat="1">
      <alignment horizontal="left" readingOrder="0" shrinkToFit="0" textRotation="75" vertical="center" wrapText="1"/>
    </xf>
    <xf borderId="0" fillId="0" fontId="1" numFmtId="0" xfId="0" applyAlignment="1" applyFont="1">
      <alignment horizontal="left" readingOrder="0" shrinkToFit="0" textRotation="75" vertical="center" wrapText="0"/>
    </xf>
    <xf borderId="0" fillId="0" fontId="1" numFmtId="0" xfId="0" applyAlignment="1" applyFont="1">
      <alignment textRotation="75"/>
    </xf>
    <xf borderId="1" fillId="0" fontId="1" numFmtId="0" xfId="0" applyAlignment="1" applyBorder="1" applyFont="1">
      <alignment horizontal="left" readingOrder="0" shrinkToFit="0" textRotation="75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textRotation="75" vertical="center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textRotation="75" vertical="center" wrapText="1"/>
    </xf>
    <xf borderId="0" fillId="0" fontId="1" numFmtId="0" xfId="0" applyAlignment="1" applyFont="1">
      <alignment horizontal="left" readingOrder="0" shrinkToFit="0" textRotation="75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textRotation="75" vertical="center" wrapText="1"/>
    </xf>
    <xf borderId="2" fillId="2" fontId="3" numFmtId="2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3" numFmtId="164" xfId="0" applyAlignment="1" applyBorder="1" applyFill="1" applyFont="1" applyNumberForma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1" fillId="0" fontId="2" numFmtId="0" xfId="0" applyBorder="1" applyFont="1"/>
    <xf borderId="0" fillId="0" fontId="1" numFmtId="2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shrinkToFit="0" vertical="center" wrapText="0"/>
    </xf>
    <xf borderId="0" fillId="0" fontId="2" numFmtId="49" xfId="0" applyAlignment="1" applyFont="1" applyNumberFormat="1">
      <alignment horizontal="left" readingOrder="0" shrinkToFit="0" textRotation="75" vertical="center" wrapText="1"/>
    </xf>
    <xf borderId="4" fillId="2" fontId="3" numFmtId="0" xfId="0" applyAlignment="1" applyBorder="1" applyFill="1" applyFont="1">
      <alignment readingOrder="0" shrinkToFit="0" vertical="center" wrapText="0"/>
    </xf>
    <xf borderId="5" fillId="3" fontId="3" numFmtId="0" xfId="0" applyAlignment="1" applyBorder="1" applyFill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7" fillId="2" fontId="3" numFmtId="2" xfId="0" applyAlignment="1" applyBorder="1" applyFill="1" applyFont="1" applyNumberFormat="1">
      <alignment horizontal="center" shrinkToFit="0" vertical="center" wrapText="0"/>
    </xf>
    <xf borderId="6" fillId="0" fontId="2" numFmtId="0" xfId="0" applyAlignment="1" applyBorder="1" applyFont="1">
      <alignment shrinkToFit="0" vertical="center" wrapText="0"/>
    </xf>
    <xf borderId="1" fillId="0" fontId="1" numFmtId="0" xfId="0" applyBorder="1" applyFont="1"/>
    <xf borderId="0" fillId="0" fontId="2" numFmtId="0" xfId="0" applyFont="1"/>
    <xf borderId="0" fillId="4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8" fillId="5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9" fillId="5" fontId="3" numFmtId="164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shrinkToFit="0" wrapText="0"/>
    </xf>
    <xf borderId="1" fillId="0" fontId="4" numFmtId="0" xfId="0" applyAlignment="1" applyBorder="1" applyFont="1">
      <alignment horizontal="left" readingOrder="0" shrinkToFit="0" textRotation="75" vertical="center" wrapText="1"/>
    </xf>
    <xf borderId="0" fillId="0" fontId="4" numFmtId="0" xfId="0" applyAlignment="1" applyFont="1">
      <alignment horizontal="left" readingOrder="0" shrinkToFit="0" textRotation="75" vertical="center" wrapText="1"/>
    </xf>
    <xf borderId="0" fillId="0" fontId="5" numFmtId="0" xfId="0" applyAlignment="1" applyFont="1">
      <alignment horizontal="left" readingOrder="0" shrinkToFit="0" textRotation="75" vertical="center" wrapText="1"/>
    </xf>
    <xf borderId="1" fillId="0" fontId="1" numFmtId="164" xfId="0" applyAlignment="1" applyBorder="1" applyFont="1" applyNumberFormat="1">
      <alignment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1" fillId="4" fontId="1" numFmtId="0" xfId="0" applyAlignment="1" applyBorder="1" applyFill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215A6C"/>
          <bgColor rgb="FF215A6C"/>
        </patternFill>
      </fill>
      <border/>
    </dxf>
  </dxfs>
  <tableStyles count="10">
    <tableStyle count="4" pivot="0" name="Aerial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Alliance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Teams-style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4" pivot="0" name="Botball &amp; Open-style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4" pivot="0" name="Teams-style 2">
      <tableStyleElement dxfId="7" type="headerRow"/>
      <tableStyleElement dxfId="2" type="firstRowStripe"/>
      <tableStyleElement dxfId="4" type="secondRowStripe"/>
      <tableStyleElement dxfId="5" size="0" type="wholeTable"/>
    </tableStyle>
    <tableStyle count="4" pivot="0" name="Teams-style 3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Teams-style 4">
      <tableStyleElement dxfId="8" type="headerRow"/>
      <tableStyleElement dxfId="2" type="firstRowStripe"/>
      <tableStyleElement dxfId="4" type="secondRowStripe"/>
      <tableStyleElement dxfId="5" size="0" type="wholeTable"/>
    </tableStyle>
    <tableStyle count="4" pivot="0" name="Botball &amp; Open-style 2">
      <tableStyleElement dxfId="7" type="headerRow"/>
      <tableStyleElement dxfId="2" type="firstRowStripe"/>
      <tableStyleElement dxfId="4" type="secondRowStripe"/>
      <tableStyleElement dxfId="5" size="0" type="wholeTable"/>
    </tableStyle>
    <tableStyle count="4" pivot="0" name="Teams-style 5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Junior Botball Challenge-style">
      <tableStyleElement dxfId="3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20" displayName="Botball" name="Botball" id="3">
  <tableColumns count="4">
    <tableColumn name="Team ID" id="1"/>
    <tableColumn name="Team Name" id="2"/>
    <tableColumn name="Country" id="3"/>
    <tableColumn name="Organization" id="4"/>
  </tableColumns>
  <tableStyleInfo name="Teams-style" showColumnStripes="0" showFirstColumn="1" showLastColumn="1" showRowStripes="1"/>
</table>
</file>

<file path=xl/tables/table2.xml><?xml version="1.0" encoding="utf-8"?>
<table xmlns="http://schemas.openxmlformats.org/spreadsheetml/2006/main" ref="A22:D30" displayName="Open" name="Open" id="5">
  <tableColumns count="4">
    <tableColumn name="Team ID" id="1"/>
    <tableColumn name="Team Name" id="2"/>
    <tableColumn name="Country" id="3"/>
    <tableColumn name="Organization" id="4"/>
  </tableColumns>
  <tableStyleInfo name="Teams-style 2" showColumnStripes="0" showFirstColumn="1" showLastColumn="1" showRowStripes="1"/>
</table>
</file>

<file path=xl/tables/table3.xml><?xml version="1.0" encoding="utf-8"?>
<table xmlns="http://schemas.openxmlformats.org/spreadsheetml/2006/main" ref="A32:D39" displayName="Aerial" name="Aerial" id="6">
  <tableColumns count="4">
    <tableColumn name="Team ID" id="1"/>
    <tableColumn name="Team Name" id="2"/>
    <tableColumn name="Country" id="3"/>
    <tableColumn name="Organization" id="4"/>
  </tableColumns>
  <tableStyleInfo name="Teams-style 3" showColumnStripes="0" showFirstColumn="1" showLastColumn="1" showRowStripes="1"/>
</table>
</file>

<file path=xl/tables/table4.xml><?xml version="1.0" encoding="utf-8"?>
<table xmlns="http://schemas.openxmlformats.org/spreadsheetml/2006/main" ref="A41:D55" displayName="Junior_Botball_Challenge" name="Junior_Botball_Challenge" id="8">
  <tableColumns count="4">
    <tableColumn name="Team ID" id="1"/>
    <tableColumn name="Team Name" id="2"/>
    <tableColumn name="Country" id="3"/>
    <tableColumn name="Organization" id="4"/>
  </tableColumns>
  <tableStyleInfo name="Teams-style 4" showColumnStripes="0" showFirstColumn="1" showLastColumn="1" showRowStripes="1"/>
</table>
</file>

<file path=xl/tables/table5.xml><?xml version="1.0" encoding="utf-8"?>
<table xmlns="http://schemas.openxmlformats.org/spreadsheetml/2006/main" ref="A57:B64" displayName="Alliance" name="Alliance" id="9">
  <tableColumns count="2">
    <tableColumn name="Team ID" id="1"/>
    <tableColumn name="Team Name" id="2"/>
  </tableColumns>
  <tableStyleInfo name="Teams-style 5" showColumnStripes="0" showFirstColumn="1" showLastColumn="1" showRowStripes="1"/>
</table>
</file>

<file path=xl/tables/table6.xml><?xml version="1.0" encoding="utf-8"?>
<table xmlns="http://schemas.openxmlformats.org/spreadsheetml/2006/main" ref="A2:V20" displayName="Botball_Scores" name="Botball_Scores" id="4">
  <tableColumns count="22">
    <tableColumn name="Team ID" id="1"/>
    <tableColumn name="Team Name" id="2"/>
    <tableColumn name="Seeding 1" id="3"/>
    <tableColumn name="Seeding 2" id="4"/>
    <tableColumn name="Seeding 3" id="5"/>
    <tableColumn name="Seeding Total" id="6"/>
    <tableColumn name="Seeding Rank" id="7"/>
    <tableColumn name="Seeding Score" id="8"/>
    <tableColumn name="DE Rank" id="9"/>
    <tableColumn name="DE Score" id="10"/>
    <tableColumn name="Paper" id="11"/>
    <tableColumn name="Paper Score" id="12"/>
    <tableColumn name="Paper Rank" id="13"/>
    <tableColumn name="Doc P1" id="14"/>
    <tableColumn name="Doc P2" id="15"/>
    <tableColumn name="Doc P3" id="16"/>
    <tableColumn name="Onsite" id="17"/>
    <tableColumn name="Doc Score" id="18"/>
    <tableColumn name="Doc+Paper Score" id="19"/>
    <tableColumn name="Doc+Paper Rank" id="20"/>
    <tableColumn name="Overall Score" id="21"/>
    <tableColumn name="Overall Rank" id="22"/>
  </tableColumns>
  <tableStyleInfo name="Botball &amp; Open-style" showColumnStripes="0" showFirstColumn="1" showLastColumn="1" showRowStripes="1"/>
</table>
</file>

<file path=xl/tables/table7.xml><?xml version="1.0" encoding="utf-8"?>
<table xmlns="http://schemas.openxmlformats.org/spreadsheetml/2006/main" ref="A22:V30" displayName="Open_Scores" name="Open_Scores" id="7">
  <tableColumns count="22">
    <tableColumn name="Team ID" id="1"/>
    <tableColumn name="Team Name" id="2"/>
    <tableColumn name="Seeding 1" id="3"/>
    <tableColumn name="Seeding 2" id="4"/>
    <tableColumn name="Seeding 3" id="5"/>
    <tableColumn name="Seeding Total" id="6"/>
    <tableColumn name="Seeding Rank" id="7"/>
    <tableColumn name="Seeding Score" id="8"/>
    <tableColumn name="DE Rank" id="9"/>
    <tableColumn name="DE Score" id="10"/>
    <tableColumn name="Paper" id="11"/>
    <tableColumn name="Paper Score" id="12"/>
    <tableColumn name="Paper Rank" id="13"/>
    <tableColumn name="Doc P1" id="14"/>
    <tableColumn name="Doc P2" id="15"/>
    <tableColumn name="Doc P3" id="16"/>
    <tableColumn name="Onsite" id="17"/>
    <tableColumn name="Doc Score" id="18"/>
    <tableColumn name="Doc+Paper Score" id="19"/>
    <tableColumn name="Doc+Paper Rank" id="20"/>
    <tableColumn name="Overall Score" id="21"/>
    <tableColumn name="Overall Rank" id="22"/>
  </tableColumns>
  <tableStyleInfo name="Botball &amp; Open-style 2" showColumnStripes="0" showFirstColumn="1" showLastColumn="1" showRowStripes="1"/>
</table>
</file>

<file path=xl/tables/table8.xml><?xml version="1.0" encoding="utf-8"?>
<table xmlns="http://schemas.openxmlformats.org/spreadsheetml/2006/main" ref="A2:J9" displayName="Aerial_Scores" name="Aerial_Scores" id="2">
  <tableColumns count="10">
    <tableColumn name="Team ID" id="1"/>
    <tableColumn name="Team Name" id="2"/>
    <tableColumn name="Run 1" id="3"/>
    <tableColumn name="Run 2" id="4"/>
    <tableColumn name="Run 3" id="5"/>
    <tableColumn name="Run 4" id="6"/>
    <tableColumn name="Run 5" id="7"/>
    <tableColumn name="Run 6" id="8"/>
    <tableColumn name="Score" id="9"/>
    <tableColumn name="Rank" id="10"/>
  </tableColumns>
  <tableStyleInfo name="Aerial-style" showColumnStripes="0" showFirstColumn="1" showLastColumn="1" showRowStripes="1"/>
</table>
</file>

<file path=xl/tables/table9.xml><?xml version="1.0" encoding="utf-8"?>
<table xmlns="http://schemas.openxmlformats.org/spreadsheetml/2006/main" ref="A2:C9" displayName="Alliance_Scores" name="Alliance_Scores" id="1">
  <tableColumns count="3">
    <tableColumn name="Team ID" id="1"/>
    <tableColumn name="Team Name" id="2"/>
    <tableColumn name="Rank" id="3"/>
  </tableColumns>
  <tableStyleInfo name="Alliance-style" showColumnStripes="0" showFirstColumn="1" showLastColumn="1" showRowStripes="1"/>
</table>
</file>

<file path=xl/tables/table10.xml><?xml version="1.0" encoding="utf-8"?>
<table xmlns="http://schemas.openxmlformats.org/spreadsheetml/2006/main" ref="A2:D16" displayName="Junior_Botball_Challenge_Scores" name="Junior_Botball_Challenge_Scores" id="10">
  <tableColumns count="4">
    <tableColumn name="Team ID" id="1"/>
    <tableColumn name="Team Name" id="2"/>
    <tableColumn name="Points for Solved Challenges" id="3"/>
    <tableColumn name="Rank" id="4"/>
  </tableColumns>
  <tableStyleInfo name="Junior Botball Challen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8.88"/>
    <col customWidth="1" min="3" max="3" width="19.38"/>
    <col customWidth="1" min="4" max="4" width="37.0"/>
  </cols>
  <sheetData>
    <row r="1">
      <c r="A1" s="1"/>
      <c r="B1" s="1"/>
      <c r="C1" s="1"/>
      <c r="D1" s="1"/>
    </row>
    <row r="2">
      <c r="A2" s="12" t="s">
        <v>0</v>
      </c>
      <c r="B2" s="12" t="s">
        <v>1</v>
      </c>
      <c r="C2" s="12" t="s">
        <v>12</v>
      </c>
      <c r="D2" s="12" t="s">
        <v>13</v>
      </c>
    </row>
    <row r="3">
      <c r="A3" s="9" t="s">
        <v>14</v>
      </c>
      <c r="B3" s="9" t="s">
        <v>15</v>
      </c>
      <c r="C3" s="9" t="s">
        <v>16</v>
      </c>
      <c r="D3" s="9" t="s">
        <v>17</v>
      </c>
    </row>
    <row r="4">
      <c r="A4" s="9" t="s">
        <v>18</v>
      </c>
      <c r="B4" s="9" t="s">
        <v>19</v>
      </c>
      <c r="C4" s="9" t="s">
        <v>20</v>
      </c>
      <c r="D4" s="9" t="s">
        <v>21</v>
      </c>
    </row>
    <row r="5">
      <c r="A5" s="9" t="s">
        <v>22</v>
      </c>
      <c r="B5" s="9" t="s">
        <v>24</v>
      </c>
      <c r="C5" s="9" t="s">
        <v>16</v>
      </c>
      <c r="D5" s="9" t="s">
        <v>26</v>
      </c>
    </row>
    <row r="6">
      <c r="A6" s="9" t="s">
        <v>28</v>
      </c>
      <c r="B6" s="9" t="s">
        <v>30</v>
      </c>
      <c r="C6" s="9" t="s">
        <v>16</v>
      </c>
      <c r="D6" s="9" t="s">
        <v>32</v>
      </c>
    </row>
    <row r="7">
      <c r="A7" s="9" t="s">
        <v>34</v>
      </c>
      <c r="B7" s="9" t="s">
        <v>35</v>
      </c>
      <c r="C7" s="9" t="s">
        <v>16</v>
      </c>
      <c r="D7" s="9" t="s">
        <v>17</v>
      </c>
    </row>
    <row r="8">
      <c r="A8" s="9" t="s">
        <v>40</v>
      </c>
      <c r="B8" s="9" t="s">
        <v>42</v>
      </c>
      <c r="C8" s="9" t="s">
        <v>16</v>
      </c>
      <c r="D8" s="9" t="s">
        <v>17</v>
      </c>
    </row>
    <row r="9">
      <c r="A9" s="9" t="s">
        <v>45</v>
      </c>
      <c r="B9" s="9" t="s">
        <v>47</v>
      </c>
      <c r="C9" s="9" t="s">
        <v>16</v>
      </c>
      <c r="D9" s="9" t="s">
        <v>49</v>
      </c>
    </row>
    <row r="10">
      <c r="A10" s="9" t="s">
        <v>51</v>
      </c>
      <c r="B10" s="9" t="s">
        <v>53</v>
      </c>
      <c r="C10" s="9" t="s">
        <v>16</v>
      </c>
      <c r="D10" s="9" t="s">
        <v>56</v>
      </c>
    </row>
    <row r="11">
      <c r="A11" s="9" t="s">
        <v>58</v>
      </c>
      <c r="B11" s="9" t="s">
        <v>60</v>
      </c>
      <c r="C11" s="9" t="s">
        <v>16</v>
      </c>
      <c r="D11" s="9" t="s">
        <v>26</v>
      </c>
    </row>
    <row r="12">
      <c r="A12" s="9" t="s">
        <v>63</v>
      </c>
      <c r="B12" s="9" t="s">
        <v>64</v>
      </c>
      <c r="C12" s="9" t="s">
        <v>16</v>
      </c>
      <c r="D12" s="9" t="s">
        <v>56</v>
      </c>
    </row>
    <row r="13">
      <c r="A13" s="9" t="s">
        <v>65</v>
      </c>
      <c r="B13" s="9" t="s">
        <v>66</v>
      </c>
      <c r="C13" s="9" t="s">
        <v>16</v>
      </c>
      <c r="D13" s="9" t="s">
        <v>67</v>
      </c>
    </row>
    <row r="14">
      <c r="A14" s="9" t="s">
        <v>68</v>
      </c>
      <c r="B14" s="9" t="s">
        <v>69</v>
      </c>
      <c r="C14" s="9" t="s">
        <v>16</v>
      </c>
      <c r="D14" s="9" t="s">
        <v>70</v>
      </c>
    </row>
    <row r="15">
      <c r="A15" s="9" t="s">
        <v>71</v>
      </c>
      <c r="B15" s="9" t="s">
        <v>72</v>
      </c>
      <c r="C15" s="9" t="s">
        <v>16</v>
      </c>
      <c r="D15" s="9" t="s">
        <v>73</v>
      </c>
    </row>
    <row r="16">
      <c r="A16" s="9" t="s">
        <v>75</v>
      </c>
      <c r="B16" s="9" t="s">
        <v>76</v>
      </c>
      <c r="C16" s="9" t="s">
        <v>16</v>
      </c>
      <c r="D16" s="9" t="s">
        <v>73</v>
      </c>
    </row>
    <row r="17">
      <c r="A17" s="9" t="s">
        <v>77</v>
      </c>
      <c r="B17" s="9" t="s">
        <v>78</v>
      </c>
      <c r="C17" s="9" t="s">
        <v>16</v>
      </c>
      <c r="D17" s="9" t="s">
        <v>73</v>
      </c>
    </row>
    <row r="18">
      <c r="A18" s="9" t="s">
        <v>80</v>
      </c>
      <c r="B18" s="9" t="s">
        <v>81</v>
      </c>
      <c r="C18" s="9" t="s">
        <v>16</v>
      </c>
      <c r="D18" s="9" t="s">
        <v>49</v>
      </c>
    </row>
    <row r="19">
      <c r="A19" s="9" t="s">
        <v>83</v>
      </c>
      <c r="B19" s="9" t="s">
        <v>84</v>
      </c>
      <c r="C19" s="9" t="s">
        <v>85</v>
      </c>
      <c r="D19" s="9" t="s">
        <v>86</v>
      </c>
    </row>
    <row r="20">
      <c r="A20" s="9" t="s">
        <v>87</v>
      </c>
      <c r="B20" s="9" t="s">
        <v>88</v>
      </c>
      <c r="C20" s="9" t="s">
        <v>20</v>
      </c>
      <c r="D20" s="9" t="s">
        <v>89</v>
      </c>
    </row>
    <row r="22">
      <c r="A22" s="12" t="s">
        <v>0</v>
      </c>
      <c r="B22" s="12" t="s">
        <v>1</v>
      </c>
      <c r="C22" s="12" t="s">
        <v>12</v>
      </c>
      <c r="D22" s="12" t="s">
        <v>13</v>
      </c>
    </row>
    <row r="23">
      <c r="A23" s="9" t="s">
        <v>92</v>
      </c>
      <c r="B23" s="9" t="s">
        <v>93</v>
      </c>
      <c r="C23" s="9" t="s">
        <v>16</v>
      </c>
      <c r="D23" s="9" t="s">
        <v>49</v>
      </c>
    </row>
    <row r="24">
      <c r="A24" s="9" t="s">
        <v>95</v>
      </c>
      <c r="B24" s="9" t="s">
        <v>96</v>
      </c>
      <c r="C24" s="9" t="s">
        <v>16</v>
      </c>
      <c r="D24" s="9" t="s">
        <v>49</v>
      </c>
    </row>
    <row r="25">
      <c r="A25" s="9" t="s">
        <v>97</v>
      </c>
      <c r="B25" s="9" t="s">
        <v>98</v>
      </c>
      <c r="C25" s="9" t="s">
        <v>16</v>
      </c>
      <c r="D25" s="9" t="s">
        <v>49</v>
      </c>
    </row>
    <row r="26">
      <c r="A26" s="9" t="s">
        <v>99</v>
      </c>
      <c r="B26" s="9" t="s">
        <v>100</v>
      </c>
      <c r="C26" s="9" t="s">
        <v>16</v>
      </c>
      <c r="D26" s="9" t="s">
        <v>17</v>
      </c>
    </row>
    <row r="27">
      <c r="A27" s="9" t="s">
        <v>101</v>
      </c>
      <c r="B27" s="9" t="s">
        <v>103</v>
      </c>
      <c r="C27" s="9" t="s">
        <v>16</v>
      </c>
      <c r="D27" s="9" t="s">
        <v>17</v>
      </c>
    </row>
    <row r="28">
      <c r="A28" s="9" t="s">
        <v>104</v>
      </c>
      <c r="B28" s="9" t="s">
        <v>105</v>
      </c>
      <c r="C28" s="9" t="s">
        <v>16</v>
      </c>
      <c r="D28" s="9" t="s">
        <v>17</v>
      </c>
    </row>
    <row r="29">
      <c r="A29" s="9" t="s">
        <v>106</v>
      </c>
      <c r="B29" s="32" t="s">
        <v>107</v>
      </c>
      <c r="C29" s="9" t="s">
        <v>16</v>
      </c>
      <c r="D29" s="9" t="s">
        <v>108</v>
      </c>
    </row>
    <row r="30">
      <c r="A30" s="9" t="s">
        <v>109</v>
      </c>
      <c r="B30" s="9" t="s">
        <v>110</v>
      </c>
      <c r="C30" s="9" t="s">
        <v>16</v>
      </c>
      <c r="D30" s="9" t="s">
        <v>108</v>
      </c>
    </row>
    <row r="32">
      <c r="A32" s="12" t="s">
        <v>0</v>
      </c>
      <c r="B32" s="12" t="s">
        <v>1</v>
      </c>
      <c r="C32" s="12" t="s">
        <v>12</v>
      </c>
      <c r="D32" s="12" t="s">
        <v>13</v>
      </c>
    </row>
    <row r="33">
      <c r="A33" s="9" t="s">
        <v>11</v>
      </c>
      <c r="B33" s="9" t="s">
        <v>112</v>
      </c>
      <c r="C33" s="36" t="s">
        <v>16</v>
      </c>
      <c r="D33" s="9" t="s">
        <v>114</v>
      </c>
    </row>
    <row r="34">
      <c r="A34" s="25" t="s">
        <v>61</v>
      </c>
      <c r="B34" s="9" t="s">
        <v>116</v>
      </c>
      <c r="C34" s="37" t="s">
        <v>16</v>
      </c>
      <c r="D34" s="9" t="s">
        <v>114</v>
      </c>
    </row>
    <row r="35">
      <c r="A35" s="9" t="s">
        <v>79</v>
      </c>
      <c r="B35" s="9" t="s">
        <v>117</v>
      </c>
      <c r="C35" s="36" t="s">
        <v>16</v>
      </c>
      <c r="D35" s="9" t="s">
        <v>118</v>
      </c>
    </row>
    <row r="36">
      <c r="A36" s="9" t="s">
        <v>91</v>
      </c>
      <c r="B36" s="9" t="s">
        <v>119</v>
      </c>
      <c r="C36" s="37" t="s">
        <v>16</v>
      </c>
      <c r="D36" s="9" t="s">
        <v>118</v>
      </c>
    </row>
    <row r="37">
      <c r="A37" s="9" t="s">
        <v>102</v>
      </c>
      <c r="B37" s="9" t="s">
        <v>121</v>
      </c>
      <c r="C37" s="36" t="s">
        <v>16</v>
      </c>
      <c r="D37" s="9" t="s">
        <v>118</v>
      </c>
    </row>
    <row r="38">
      <c r="A38" s="9" t="s">
        <v>111</v>
      </c>
      <c r="B38" s="9" t="s">
        <v>122</v>
      </c>
      <c r="C38" s="37" t="s">
        <v>16</v>
      </c>
      <c r="D38" s="9" t="s">
        <v>123</v>
      </c>
    </row>
    <row r="39">
      <c r="A39" s="9" t="s">
        <v>120</v>
      </c>
      <c r="B39" s="9" t="s">
        <v>125</v>
      </c>
      <c r="C39" s="9" t="s">
        <v>16</v>
      </c>
      <c r="D39" s="9" t="s">
        <v>123</v>
      </c>
    </row>
    <row r="40">
      <c r="A40" s="42"/>
      <c r="B40" s="42"/>
      <c r="C40" s="42"/>
      <c r="D40" s="42"/>
    </row>
    <row r="41">
      <c r="A41" s="12" t="s">
        <v>0</v>
      </c>
      <c r="B41" s="12" t="s">
        <v>1</v>
      </c>
      <c r="C41" s="12" t="s">
        <v>12</v>
      </c>
      <c r="D41" s="12" t="s">
        <v>13</v>
      </c>
    </row>
    <row r="42">
      <c r="A42" s="9" t="s">
        <v>115</v>
      </c>
      <c r="B42" s="9" t="s">
        <v>126</v>
      </c>
      <c r="C42" s="9" t="s">
        <v>16</v>
      </c>
      <c r="D42" s="9" t="s">
        <v>127</v>
      </c>
    </row>
    <row r="43">
      <c r="A43" s="9" t="s">
        <v>124</v>
      </c>
      <c r="B43" s="9" t="s">
        <v>128</v>
      </c>
      <c r="C43" s="9" t="s">
        <v>16</v>
      </c>
      <c r="D43" s="9" t="s">
        <v>127</v>
      </c>
    </row>
    <row r="44">
      <c r="A44" s="9" t="s">
        <v>129</v>
      </c>
      <c r="B44" s="9" t="s">
        <v>130</v>
      </c>
      <c r="C44" s="9" t="s">
        <v>16</v>
      </c>
      <c r="D44" s="9" t="s">
        <v>131</v>
      </c>
    </row>
    <row r="45">
      <c r="A45" s="9" t="s">
        <v>132</v>
      </c>
      <c r="B45" s="9" t="s">
        <v>133</v>
      </c>
      <c r="C45" s="9" t="s">
        <v>16</v>
      </c>
      <c r="D45" s="9" t="s">
        <v>131</v>
      </c>
    </row>
    <row r="46">
      <c r="A46" s="9" t="s">
        <v>134</v>
      </c>
      <c r="B46" s="9" t="s">
        <v>135</v>
      </c>
      <c r="C46" s="9" t="s">
        <v>16</v>
      </c>
      <c r="D46" s="9" t="s">
        <v>131</v>
      </c>
    </row>
    <row r="47">
      <c r="A47" s="9" t="s">
        <v>136</v>
      </c>
      <c r="B47" s="9" t="s">
        <v>137</v>
      </c>
      <c r="C47" s="9" t="s">
        <v>16</v>
      </c>
      <c r="D47" s="9" t="s">
        <v>131</v>
      </c>
    </row>
    <row r="48">
      <c r="A48" s="9" t="s">
        <v>138</v>
      </c>
      <c r="B48" s="9" t="s">
        <v>139</v>
      </c>
      <c r="C48" s="9" t="s">
        <v>16</v>
      </c>
      <c r="D48" s="9" t="s">
        <v>131</v>
      </c>
    </row>
    <row r="49">
      <c r="A49" s="9" t="s">
        <v>140</v>
      </c>
      <c r="B49" s="9" t="s">
        <v>141</v>
      </c>
      <c r="C49" s="9" t="s">
        <v>16</v>
      </c>
      <c r="D49" s="9" t="s">
        <v>142</v>
      </c>
    </row>
    <row r="50">
      <c r="A50" s="9" t="s">
        <v>143</v>
      </c>
      <c r="B50" s="9" t="s">
        <v>144</v>
      </c>
      <c r="C50" s="9" t="s">
        <v>16</v>
      </c>
      <c r="D50" s="9" t="s">
        <v>145</v>
      </c>
    </row>
    <row r="51">
      <c r="A51" s="9" t="s">
        <v>146</v>
      </c>
      <c r="B51" s="9" t="s">
        <v>145</v>
      </c>
      <c r="C51" s="9" t="s">
        <v>16</v>
      </c>
      <c r="D51" s="9" t="s">
        <v>145</v>
      </c>
    </row>
    <row r="52">
      <c r="A52" s="9" t="s">
        <v>147</v>
      </c>
      <c r="B52" s="9" t="s">
        <v>148</v>
      </c>
      <c r="C52" s="9" t="s">
        <v>16</v>
      </c>
      <c r="D52" s="9" t="s">
        <v>145</v>
      </c>
    </row>
    <row r="53">
      <c r="A53" s="9" t="s">
        <v>149</v>
      </c>
      <c r="B53" s="9" t="s">
        <v>150</v>
      </c>
      <c r="C53" s="9" t="s">
        <v>16</v>
      </c>
      <c r="D53" s="9" t="s">
        <v>151</v>
      </c>
    </row>
    <row r="54">
      <c r="A54" s="9" t="s">
        <v>152</v>
      </c>
      <c r="B54" s="9" t="s">
        <v>153</v>
      </c>
      <c r="C54" s="9" t="s">
        <v>16</v>
      </c>
      <c r="D54" s="9" t="s">
        <v>151</v>
      </c>
    </row>
    <row r="55">
      <c r="A55" s="9" t="s">
        <v>154</v>
      </c>
      <c r="B55" s="9" t="s">
        <v>155</v>
      </c>
      <c r="C55" s="9" t="s">
        <v>16</v>
      </c>
      <c r="D55" s="9" t="s">
        <v>151</v>
      </c>
    </row>
    <row r="56">
      <c r="A56" s="42"/>
      <c r="B56" s="42"/>
      <c r="C56" s="42"/>
      <c r="D56" s="42"/>
    </row>
    <row r="57">
      <c r="A57" s="12" t="s">
        <v>0</v>
      </c>
      <c r="B57" s="12" t="s">
        <v>1</v>
      </c>
    </row>
    <row r="58">
      <c r="A58" s="9" t="s">
        <v>9</v>
      </c>
      <c r="B58" s="9" t="s">
        <v>156</v>
      </c>
    </row>
    <row r="59">
      <c r="A59" s="9" t="s">
        <v>38</v>
      </c>
      <c r="B59" s="9" t="s">
        <v>157</v>
      </c>
    </row>
    <row r="60">
      <c r="A60" s="9" t="s">
        <v>62</v>
      </c>
      <c r="B60" s="9" t="s">
        <v>158</v>
      </c>
    </row>
    <row r="61">
      <c r="A61" s="9" t="s">
        <v>74</v>
      </c>
      <c r="B61" s="9" t="s">
        <v>159</v>
      </c>
    </row>
    <row r="62">
      <c r="A62" s="9" t="s">
        <v>82</v>
      </c>
      <c r="B62" s="9" t="s">
        <v>160</v>
      </c>
    </row>
    <row r="63">
      <c r="A63" s="9" t="s">
        <v>90</v>
      </c>
      <c r="B63" s="9" t="s">
        <v>161</v>
      </c>
    </row>
    <row r="64">
      <c r="A64" s="9" t="s">
        <v>94</v>
      </c>
      <c r="B64" s="9" t="s">
        <v>162</v>
      </c>
    </row>
    <row r="65">
      <c r="A65" s="48"/>
      <c r="B65" s="48"/>
      <c r="C65" s="48"/>
      <c r="D65" s="48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22" width="7.63"/>
    <col customWidth="1" min="23" max="23" width="4.5"/>
  </cols>
  <sheetData>
    <row r="1">
      <c r="A1" s="11"/>
      <c r="B1" s="11"/>
      <c r="C1" s="11"/>
      <c r="D1" s="11"/>
      <c r="E1" s="11"/>
      <c r="F1" s="11"/>
      <c r="G1" s="13"/>
      <c r="H1" s="14"/>
      <c r="I1" s="13"/>
      <c r="J1" s="14"/>
      <c r="K1" s="14"/>
      <c r="L1" s="14"/>
      <c r="M1" s="13"/>
      <c r="N1" s="14"/>
      <c r="O1" s="14"/>
      <c r="P1" s="14"/>
      <c r="Q1" s="15"/>
      <c r="R1" s="14"/>
      <c r="S1" s="14"/>
      <c r="T1" s="13"/>
      <c r="U1" s="14"/>
      <c r="V1" s="13"/>
    </row>
    <row r="2" ht="90.75" customHeight="1">
      <c r="A2" s="3" t="s">
        <v>0</v>
      </c>
      <c r="B2" s="3" t="s">
        <v>1</v>
      </c>
      <c r="C2" s="4" t="s">
        <v>23</v>
      </c>
      <c r="D2" s="3" t="s">
        <v>25</v>
      </c>
      <c r="E2" s="3" t="s">
        <v>27</v>
      </c>
      <c r="F2" s="4" t="s">
        <v>29</v>
      </c>
      <c r="G2" s="18" t="s">
        <v>31</v>
      </c>
      <c r="H2" s="19" t="s">
        <v>33</v>
      </c>
      <c r="I2" s="5" t="s">
        <v>36</v>
      </c>
      <c r="J2" s="19" t="s">
        <v>37</v>
      </c>
      <c r="K2" s="21" t="s">
        <v>39</v>
      </c>
      <c r="L2" s="21" t="s">
        <v>41</v>
      </c>
      <c r="M2" s="18" t="s">
        <v>43</v>
      </c>
      <c r="N2" s="21" t="s">
        <v>44</v>
      </c>
      <c r="O2" s="19" t="s">
        <v>46</v>
      </c>
      <c r="P2" s="19" t="s">
        <v>48</v>
      </c>
      <c r="Q2" s="19" t="s">
        <v>50</v>
      </c>
      <c r="R2" s="21" t="s">
        <v>52</v>
      </c>
      <c r="S2" s="19" t="s">
        <v>54</v>
      </c>
      <c r="T2" s="18" t="s">
        <v>55</v>
      </c>
      <c r="U2" s="21" t="s">
        <v>57</v>
      </c>
      <c r="V2" s="18" t="s">
        <v>59</v>
      </c>
    </row>
    <row r="3">
      <c r="A3" s="25" t="str">
        <f>Teams!A3</f>
        <v>26-0188</v>
      </c>
      <c r="B3" s="16" t="str">
        <f t="array" ref="B3">_xlfn.XLOOKUP(A3,Botball[Team ID],Botball[Team Name], "")</f>
        <v>ByteMe</v>
      </c>
      <c r="C3" s="26">
        <v>330.0</v>
      </c>
      <c r="D3" s="27">
        <v>1311.0</v>
      </c>
      <c r="E3" s="27">
        <v>1653.0</v>
      </c>
      <c r="F3" s="28">
        <f>IFERROR(__xludf.DUMMYFUNCTION("AVERAGE(QUERY(TRANSPOSE(C3:E3), ""SELECT * ORDER BY Col1 DESC LIMIT 2""))"),1482.0)</f>
        <v>1482</v>
      </c>
      <c r="G3" s="23">
        <f>RANK(F3,Botball_Scores[Seeding Total])</f>
        <v>2</v>
      </c>
      <c r="H3" s="31">
        <f>3/4*(1-(G3-1)/COUNTA(Botball_Scores[Team ID])) + 1/4*F3/MAX(Botball_Scores[[Seeding 1]:[Seeding 3]])</f>
        <v>0.8040945119</v>
      </c>
      <c r="I3" s="20">
        <v>2.0</v>
      </c>
      <c r="J3" s="27">
        <f>(COUNT(Botball_Scores[DE Rank])-I3+1)/COUNT(Botball_Scores[DE Rank])</f>
        <v>0.9444444444</v>
      </c>
      <c r="K3" s="33">
        <v>86.0</v>
      </c>
      <c r="L3" s="34">
        <f t="shared" ref="L3:L20" si="1">K3/100</f>
        <v>0.86</v>
      </c>
      <c r="M3" s="23">
        <f t="array" ref="M3">RANK(L3,{Botball_Scores[Paper Score];Open_Scores[Paper Score]})</f>
        <v>7</v>
      </c>
      <c r="N3" s="26">
        <v>54.0</v>
      </c>
      <c r="O3" s="27">
        <v>85.0</v>
      </c>
      <c r="P3" s="27">
        <v>94.0</v>
      </c>
      <c r="Q3" s="47"/>
      <c r="R3" s="34">
        <f t="shared" ref="R3:R20" si="2">N3/54*1/3 + O3/85*1/3 + P3/94*1/3</f>
        <v>1</v>
      </c>
      <c r="S3" s="31">
        <f t="shared" ref="S3:S20" si="3">L3*0.5 + R3*0.5</f>
        <v>0.93</v>
      </c>
      <c r="T3" s="23">
        <f>RANK(S3,Botball_Scores[Doc+Paper Score])</f>
        <v>3</v>
      </c>
      <c r="U3" s="34">
        <f t="shared" ref="U3:U20" si="4">H3 + J3 + S3</f>
        <v>2.678538956</v>
      </c>
      <c r="V3" s="23">
        <f>RANK(U3,Botball_Scores[Overall Score])</f>
        <v>2</v>
      </c>
    </row>
    <row r="4">
      <c r="A4" s="25" t="str">
        <f>Teams!A4</f>
        <v>26-0340</v>
      </c>
      <c r="B4" s="16" t="str">
        <f t="array" ref="B4">_xlfn.XLOOKUP(A4,Botball[Team ID],Botball[Team Name], "")</f>
        <v>Failure Management</v>
      </c>
      <c r="C4" s="26">
        <v>21.0</v>
      </c>
      <c r="D4" s="27">
        <v>0.0</v>
      </c>
      <c r="E4" s="27">
        <v>2476.0</v>
      </c>
      <c r="F4" s="50">
        <f>IFERROR(__xludf.DUMMYFUNCTION("AVERAGE(QUERY(TRANSPOSE(C4:E4), ""SELECT * ORDER BY Col1 DESC LIMIT 2""))"),1248.5)</f>
        <v>1248.5</v>
      </c>
      <c r="G4" s="23">
        <f>RANK(F4,Botball_Scores[Seeding Total])</f>
        <v>3</v>
      </c>
      <c r="H4" s="31">
        <f>3/4*(1-(G4-1)/COUNTA(Botball_Scores[Team ID])) + 1/4*F4/MAX(Botball_Scores[[Seeding 1]:[Seeding 3]])</f>
        <v>0.7473399673</v>
      </c>
      <c r="I4" s="20">
        <v>9.0</v>
      </c>
      <c r="J4" s="27">
        <f>(COUNT(Botball_Scores[DE Rank])-I4+1)/COUNT(Botball_Scores[DE Rank])</f>
        <v>0.5555555556</v>
      </c>
      <c r="K4" s="33">
        <v>58.5</v>
      </c>
      <c r="L4" s="34">
        <f t="shared" si="1"/>
        <v>0.585</v>
      </c>
      <c r="M4" s="23">
        <f t="array" ref="M4">RANK(L4,{Botball_Scores[Paper Score];Open_Scores[Paper Score]})</f>
        <v>14</v>
      </c>
      <c r="N4" s="26"/>
      <c r="O4" s="27"/>
      <c r="P4" s="27"/>
      <c r="Q4" s="47"/>
      <c r="R4" s="34">
        <f t="shared" si="2"/>
        <v>0</v>
      </c>
      <c r="S4" s="31">
        <f t="shared" si="3"/>
        <v>0.2925</v>
      </c>
      <c r="T4" s="23">
        <f>RANK(S4,Botball_Scores[Doc+Paper Score])</f>
        <v>10</v>
      </c>
      <c r="U4" s="34">
        <f t="shared" si="4"/>
        <v>1.595395523</v>
      </c>
      <c r="V4" s="23">
        <f>RANK(U4,Botball_Scores[Overall Score])</f>
        <v>9</v>
      </c>
    </row>
    <row r="5">
      <c r="A5" s="25" t="str">
        <f>Teams!A5</f>
        <v>26-0367</v>
      </c>
      <c r="B5" s="16" t="str">
        <f t="array" ref="B5">_xlfn.XLOOKUP(A5,Botball[Team ID],Botball[Team Name], "")</f>
        <v>ProbablyLast</v>
      </c>
      <c r="C5" s="26">
        <v>28.0</v>
      </c>
      <c r="D5" s="27">
        <v>242.0</v>
      </c>
      <c r="E5" s="27">
        <v>153.0</v>
      </c>
      <c r="F5" s="28">
        <f>IFERROR(__xludf.DUMMYFUNCTION("AVERAGE(QUERY(TRANSPOSE(C5:E5), ""SELECT * ORDER BY Col1 DESC LIMIT 2""))"),197.5)</f>
        <v>197.5</v>
      </c>
      <c r="G5" s="23">
        <f>RANK(F5,Botball_Scores[Seeding Total])</f>
        <v>8</v>
      </c>
      <c r="H5" s="31">
        <f>3/4*(1-(G5-1)/COUNTA(Botball_Scores[Team ID])) + 1/4*F5/MAX(Botball_Scores[[Seeding 1]:[Seeding 3]])</f>
        <v>0.4710950289</v>
      </c>
      <c r="I5" s="20">
        <v>3.0</v>
      </c>
      <c r="J5" s="27">
        <f>(COUNT(Botball_Scores[DE Rank])-I5+1)/COUNT(Botball_Scores[DE Rank])</f>
        <v>0.8888888889</v>
      </c>
      <c r="K5" s="33"/>
      <c r="L5" s="34">
        <f t="shared" si="1"/>
        <v>0</v>
      </c>
      <c r="M5" s="23">
        <f t="array" ref="M5">RANK(L5,{Botball_Scores[Paper Score];Open_Scores[Paper Score]})</f>
        <v>18</v>
      </c>
      <c r="N5" s="26">
        <v>4.0</v>
      </c>
      <c r="O5" s="27">
        <v>85.0</v>
      </c>
      <c r="P5" s="27">
        <v>60.0</v>
      </c>
      <c r="Q5" s="47"/>
      <c r="R5" s="34">
        <f t="shared" si="2"/>
        <v>0.5707906488</v>
      </c>
      <c r="S5" s="31">
        <f t="shared" si="3"/>
        <v>0.2853953244</v>
      </c>
      <c r="T5" s="23">
        <f>RANK(S5,Botball_Scores[Doc+Paper Score])</f>
        <v>11</v>
      </c>
      <c r="U5" s="34">
        <f t="shared" si="4"/>
        <v>1.645379242</v>
      </c>
      <c r="V5" s="23">
        <f>RANK(U5,Botball_Scores[Overall Score])</f>
        <v>8</v>
      </c>
    </row>
    <row r="6">
      <c r="A6" s="25" t="str">
        <f>Teams!A6</f>
        <v>26-0397</v>
      </c>
      <c r="B6" s="16" t="str">
        <f t="array" ref="B6">_xlfn.XLOOKUP(A6,Botball[Team ID],Botball[Team Name], "")</f>
        <v>Botbusters Saalfelden</v>
      </c>
      <c r="C6" s="26">
        <v>29.0</v>
      </c>
      <c r="D6" s="27">
        <v>254.0</v>
      </c>
      <c r="E6" s="27">
        <v>397.0</v>
      </c>
      <c r="F6" s="50">
        <f>IFERROR(__xludf.DUMMYFUNCTION("AVERAGE(QUERY(TRANSPOSE(C6:E6), ""SELECT * ORDER BY Col1 DESC LIMIT 2""))"),325.5)</f>
        <v>325.5</v>
      </c>
      <c r="G6" s="23">
        <f>RANK(F6,Botball_Scores[Seeding Total])</f>
        <v>6</v>
      </c>
      <c r="H6" s="31">
        <f>3/4*(1-(G6-1)/COUNTA(Botball_Scores[Team ID])) + 1/4*F6/MAX(Botball_Scores[[Seeding 1]:[Seeding 3]])</f>
        <v>0.5626992332</v>
      </c>
      <c r="I6" s="20">
        <v>7.0</v>
      </c>
      <c r="J6" s="27">
        <f>(COUNT(Botball_Scores[DE Rank])-I6+1)/COUNT(Botball_Scores[DE Rank])</f>
        <v>0.6666666667</v>
      </c>
      <c r="K6" s="33">
        <v>73.5</v>
      </c>
      <c r="L6" s="34">
        <f t="shared" si="1"/>
        <v>0.735</v>
      </c>
      <c r="M6" s="23">
        <f t="array" ref="M6">RANK(L6,{Botball_Scores[Paper Score];Open_Scores[Paper Score]})</f>
        <v>10</v>
      </c>
      <c r="N6" s="26">
        <v>52.0</v>
      </c>
      <c r="O6" s="27">
        <v>85.0</v>
      </c>
      <c r="P6" s="27">
        <v>60.0</v>
      </c>
      <c r="Q6" s="47"/>
      <c r="R6" s="34">
        <f t="shared" si="2"/>
        <v>0.8670869451</v>
      </c>
      <c r="S6" s="31">
        <f t="shared" si="3"/>
        <v>0.8010434726</v>
      </c>
      <c r="T6" s="23">
        <f>RANK(S6,Botball_Scores[Doc+Paper Score])</f>
        <v>6</v>
      </c>
      <c r="U6" s="34">
        <f t="shared" si="4"/>
        <v>2.030409372</v>
      </c>
      <c r="V6" s="23">
        <f>RANK(U6,Botball_Scores[Overall Score])</f>
        <v>6</v>
      </c>
    </row>
    <row r="7">
      <c r="A7" s="25" t="str">
        <f>Teams!A7</f>
        <v>26-0602</v>
      </c>
      <c r="B7" s="16" t="str">
        <f t="array" ref="B7">_xlfn.XLOOKUP(A7,Botball[Team ID],Botball[Team Name], "")</f>
        <v>Cheese Wizards</v>
      </c>
      <c r="C7" s="26">
        <v>53.0</v>
      </c>
      <c r="D7" s="27">
        <v>914.0</v>
      </c>
      <c r="E7" s="27">
        <v>243.0</v>
      </c>
      <c r="F7" s="28">
        <f>IFERROR(__xludf.DUMMYFUNCTION("AVERAGE(QUERY(TRANSPOSE(C7:E7), ""SELECT * ORDER BY Col1 DESC LIMIT 2""))"),578.5)</f>
        <v>578.5</v>
      </c>
      <c r="G7" s="23">
        <f>RANK(F7,Botball_Scores[Seeding Total])</f>
        <v>5</v>
      </c>
      <c r="H7" s="31">
        <f>3/4*(1-(G7-1)/COUNTA(Botball_Scores[Team ID])) + 1/4*F7/MAX(Botball_Scores[[Seeding 1]:[Seeding 3]])</f>
        <v>0.6207137934</v>
      </c>
      <c r="I7" s="20">
        <v>7.0</v>
      </c>
      <c r="J7" s="27">
        <f>(COUNT(Botball_Scores[DE Rank])-I7+1)/COUNT(Botball_Scores[DE Rank])</f>
        <v>0.6666666667</v>
      </c>
      <c r="K7" s="33">
        <v>56.0</v>
      </c>
      <c r="L7" s="34">
        <f t="shared" si="1"/>
        <v>0.56</v>
      </c>
      <c r="M7" s="23">
        <f t="array" ref="M7">RANK(L7,{Botball_Scores[Paper Score];Open_Scores[Paper Score]})</f>
        <v>15</v>
      </c>
      <c r="N7" s="26">
        <v>54.0</v>
      </c>
      <c r="O7" s="27">
        <v>85.0</v>
      </c>
      <c r="P7" s="27">
        <v>94.0</v>
      </c>
      <c r="Q7" s="47"/>
      <c r="R7" s="34">
        <f t="shared" si="2"/>
        <v>1</v>
      </c>
      <c r="S7" s="31">
        <f t="shared" si="3"/>
        <v>0.78</v>
      </c>
      <c r="T7" s="23">
        <f>RANK(S7,Botball_Scores[Doc+Paper Score])</f>
        <v>7</v>
      </c>
      <c r="U7" s="34">
        <f t="shared" si="4"/>
        <v>2.06738046</v>
      </c>
      <c r="V7" s="23">
        <f>RANK(U7,Botball_Scores[Overall Score])</f>
        <v>5</v>
      </c>
    </row>
    <row r="8">
      <c r="A8" s="25" t="str">
        <f>Teams!A8</f>
        <v>26-0603</v>
      </c>
      <c r="B8" s="16" t="str">
        <f t="array" ref="B8">_xlfn.XLOOKUP(A8,Botball[Team ID],Botball[Team Name], "")</f>
        <v>TechSupport</v>
      </c>
      <c r="C8" s="26">
        <v>807.0</v>
      </c>
      <c r="D8" s="27">
        <v>179.0</v>
      </c>
      <c r="E8" s="27">
        <v>3869.0</v>
      </c>
      <c r="F8" s="50">
        <f>IFERROR(__xludf.DUMMYFUNCTION("AVERAGE(QUERY(TRANSPOSE(C8:E8), ""SELECT * ORDER BY Col1 DESC LIMIT 2""))"),2338.0)</f>
        <v>2338</v>
      </c>
      <c r="G8" s="23">
        <f>RANK(F8,Botball_Scores[Seeding Total])</f>
        <v>1</v>
      </c>
      <c r="H8" s="31">
        <f>3/4*(1-(G8-1)/COUNTA(Botball_Scores[Team ID])) + 1/4*F8/MAX(Botball_Scores[[Seeding 1]:[Seeding 3]])</f>
        <v>0.9010726286</v>
      </c>
      <c r="I8" s="20">
        <v>1.0</v>
      </c>
      <c r="J8" s="27">
        <f>(COUNT(Botball_Scores[DE Rank])-I8+1)/COUNT(Botball_Scores[DE Rank])</f>
        <v>1</v>
      </c>
      <c r="K8" s="33">
        <v>94.5</v>
      </c>
      <c r="L8" s="34">
        <f t="shared" si="1"/>
        <v>0.945</v>
      </c>
      <c r="M8" s="23">
        <f t="array" ref="M8">RANK(L8,{Botball_Scores[Paper Score];Open_Scores[Paper Score]})</f>
        <v>4</v>
      </c>
      <c r="N8" s="26">
        <v>54.0</v>
      </c>
      <c r="O8" s="27">
        <v>85.0</v>
      </c>
      <c r="P8" s="27">
        <v>60.0</v>
      </c>
      <c r="Q8" s="47"/>
      <c r="R8" s="34">
        <f t="shared" si="2"/>
        <v>0.8794326241</v>
      </c>
      <c r="S8" s="31">
        <f t="shared" si="3"/>
        <v>0.9122163121</v>
      </c>
      <c r="T8" s="23">
        <f>RANK(S8,Botball_Scores[Doc+Paper Score])</f>
        <v>4</v>
      </c>
      <c r="U8" s="34">
        <f t="shared" si="4"/>
        <v>2.813288941</v>
      </c>
      <c r="V8" s="23">
        <f>RANK(U8,Botball_Scores[Overall Score])</f>
        <v>1</v>
      </c>
    </row>
    <row r="9">
      <c r="A9" s="25" t="str">
        <f>Teams!A9</f>
        <v>26-0604</v>
      </c>
      <c r="B9" s="16" t="str">
        <f t="array" ref="B9">_xlfn.XLOOKUP(A9,Botball[Team ID],Botball[Team Name], "")</f>
        <v>AXHT3085/3</v>
      </c>
      <c r="C9" s="26">
        <v>860.0</v>
      </c>
      <c r="D9" s="27">
        <v>1153.0</v>
      </c>
      <c r="E9" s="27">
        <v>804.0</v>
      </c>
      <c r="F9" s="28">
        <f>IFERROR(__xludf.DUMMYFUNCTION("AVERAGE(QUERY(TRANSPOSE(C9:E9), ""SELECT * ORDER BY Col1 DESC LIMIT 2""))"),1006.5)</f>
        <v>1006.5</v>
      </c>
      <c r="G9" s="23">
        <f>RANK(F9,Botball_Scores[Seeding Total])</f>
        <v>4</v>
      </c>
      <c r="H9" s="31">
        <f>3/4*(1-(G9-1)/COUNTA(Botball_Scores[Team ID])) + 1/4*F9/MAX(Botball_Scores[[Seeding 1]:[Seeding 3]])</f>
        <v>0.6900361851</v>
      </c>
      <c r="I9" s="20">
        <v>5.0</v>
      </c>
      <c r="J9" s="27">
        <f>(COUNT(Botball_Scores[DE Rank])-I9+1)/COUNT(Botball_Scores[DE Rank])</f>
        <v>0.7777777778</v>
      </c>
      <c r="K9" s="33">
        <v>100.0</v>
      </c>
      <c r="L9" s="34">
        <f t="shared" si="1"/>
        <v>1</v>
      </c>
      <c r="M9" s="23">
        <f t="array" ref="M9">RANK(L9,{Botball_Scores[Paper Score];Open_Scores[Paper Score]})</f>
        <v>1</v>
      </c>
      <c r="N9" s="26">
        <v>54.0</v>
      </c>
      <c r="O9" s="27">
        <v>85.0</v>
      </c>
      <c r="P9" s="27">
        <v>94.0</v>
      </c>
      <c r="Q9" s="47"/>
      <c r="R9" s="34">
        <f t="shared" si="2"/>
        <v>1</v>
      </c>
      <c r="S9" s="31">
        <f t="shared" si="3"/>
        <v>1</v>
      </c>
      <c r="T9" s="23">
        <f>RANK(S9,Botball_Scores[Doc+Paper Score])</f>
        <v>1</v>
      </c>
      <c r="U9" s="34">
        <f t="shared" si="4"/>
        <v>2.467813963</v>
      </c>
      <c r="V9" s="23">
        <f>RANK(U9,Botball_Scores[Overall Score])</f>
        <v>3</v>
      </c>
    </row>
    <row r="10">
      <c r="A10" s="25" t="str">
        <f>Teams!A10</f>
        <v>26-0610</v>
      </c>
      <c r="B10" s="16" t="str">
        <f t="array" ref="B10">_xlfn.XLOOKUP(A10,Botball[Team ID],Botball[Team Name], "")</f>
        <v>Die Hackler</v>
      </c>
      <c r="C10" s="26">
        <v>0.0</v>
      </c>
      <c r="D10" s="27">
        <v>142.0</v>
      </c>
      <c r="E10" s="27">
        <v>184.0</v>
      </c>
      <c r="F10" s="50">
        <f>IFERROR(__xludf.DUMMYFUNCTION("AVERAGE(QUERY(TRANSPOSE(C10:E10), ""SELECT * ORDER BY Col1 DESC LIMIT 2""))"),163.0)</f>
        <v>163</v>
      </c>
      <c r="G10" s="23">
        <f>RANK(F10,Botball_Scores[Seeding Total])</f>
        <v>9</v>
      </c>
      <c r="H10" s="31">
        <f>3/4*(1-(G10-1)/COUNTA(Botball_Scores[Team ID])) + 1/4*F10/MAX(Botball_Scores[[Seeding 1]:[Seeding 3]])</f>
        <v>0.427199104</v>
      </c>
      <c r="I10" s="20">
        <v>13.0</v>
      </c>
      <c r="J10" s="27">
        <f>(COUNT(Botball_Scores[DE Rank])-I10+1)/COUNT(Botball_Scores[DE Rank])</f>
        <v>0.3333333333</v>
      </c>
      <c r="K10" s="33"/>
      <c r="L10" s="34">
        <f t="shared" si="1"/>
        <v>0</v>
      </c>
      <c r="M10" s="23">
        <f t="array" ref="M10">RANK(L10,{Botball_Scores[Paper Score];Open_Scores[Paper Score]})</f>
        <v>18</v>
      </c>
      <c r="N10" s="26">
        <v>4.0</v>
      </c>
      <c r="O10" s="27"/>
      <c r="P10" s="27"/>
      <c r="Q10" s="47"/>
      <c r="R10" s="34">
        <f t="shared" si="2"/>
        <v>0.02469135802</v>
      </c>
      <c r="S10" s="31">
        <f t="shared" si="3"/>
        <v>0.01234567901</v>
      </c>
      <c r="T10" s="23">
        <f>RANK(S10,Botball_Scores[Doc+Paper Score])</f>
        <v>13</v>
      </c>
      <c r="U10" s="34">
        <f t="shared" si="4"/>
        <v>0.7728781163</v>
      </c>
      <c r="V10" s="23">
        <f>RANK(U10,Botball_Scores[Overall Score])</f>
        <v>14</v>
      </c>
    </row>
    <row r="11">
      <c r="A11" s="25" t="str">
        <f>Teams!A11</f>
        <v>26-0617</v>
      </c>
      <c r="B11" s="16" t="str">
        <f t="array" ref="B11">_xlfn.XLOOKUP(A11,Botball[Team ID],Botball[Team Name], "")</f>
        <v>Lord of the Bots</v>
      </c>
      <c r="C11" s="26">
        <v>20.0</v>
      </c>
      <c r="D11" s="27">
        <v>0.0</v>
      </c>
      <c r="E11" s="27">
        <v>145.0</v>
      </c>
      <c r="F11" s="28">
        <f>IFERROR(__xludf.DUMMYFUNCTION("AVERAGE(QUERY(TRANSPOSE(C11:E11), ""SELECT * ORDER BY Col1 DESC LIMIT 2""))"),82.5)</f>
        <v>82.5</v>
      </c>
      <c r="G11" s="23">
        <f>RANK(F11,Botball_Scores[Seeding Total])</f>
        <v>15</v>
      </c>
      <c r="H11" s="31">
        <f>3/4*(1-(G11-1)/COUNTA(Botball_Scores[Team ID])) + 1/4*F11/MAX(Botball_Scores[[Seeding 1]:[Seeding 3]])</f>
        <v>0.1719975015</v>
      </c>
      <c r="I11" s="20">
        <v>13.0</v>
      </c>
      <c r="J11" s="27">
        <f>(COUNT(Botball_Scores[DE Rank])-I11+1)/COUNT(Botball_Scores[DE Rank])</f>
        <v>0.3333333333</v>
      </c>
      <c r="K11" s="33">
        <v>72.5</v>
      </c>
      <c r="L11" s="34">
        <f t="shared" si="1"/>
        <v>0.725</v>
      </c>
      <c r="M11" s="23">
        <f t="array" ref="M11">RANK(L11,{Botball_Scores[Paper Score];Open_Scores[Paper Score]})</f>
        <v>11</v>
      </c>
      <c r="N11" s="26">
        <v>32.0</v>
      </c>
      <c r="O11" s="27"/>
      <c r="P11" s="27">
        <v>94.0</v>
      </c>
      <c r="Q11" s="47"/>
      <c r="R11" s="34">
        <f t="shared" si="2"/>
        <v>0.5308641975</v>
      </c>
      <c r="S11" s="31">
        <f t="shared" si="3"/>
        <v>0.6279320988</v>
      </c>
      <c r="T11" s="23">
        <f>RANK(S11,Botball_Scores[Doc+Paper Score])</f>
        <v>9</v>
      </c>
      <c r="U11" s="34">
        <f t="shared" si="4"/>
        <v>1.133262934</v>
      </c>
      <c r="V11" s="23">
        <f>RANK(U11,Botball_Scores[Overall Score])</f>
        <v>11</v>
      </c>
    </row>
    <row r="12">
      <c r="A12" s="25" t="str">
        <f>Teams!A12</f>
        <v>26-0620</v>
      </c>
      <c r="B12" s="16" t="str">
        <f t="array" ref="B12">_xlfn.XLOOKUP(A12,Botball[Team ID],Botball[Team Name], "")</f>
        <v>Pfuscher</v>
      </c>
      <c r="C12" s="26">
        <v>0.0</v>
      </c>
      <c r="D12" s="27">
        <v>41.0</v>
      </c>
      <c r="E12" s="27">
        <v>118.0</v>
      </c>
      <c r="F12" s="50">
        <f>IFERROR(__xludf.DUMMYFUNCTION("AVERAGE(QUERY(TRANSPOSE(C12:E12), ""SELECT * ORDER BY Col1 DESC LIMIT 2""))"),79.5)</f>
        <v>79.5</v>
      </c>
      <c r="G12" s="23">
        <f>RANK(F12,Botball_Scores[Seeding Total])</f>
        <v>16</v>
      </c>
      <c r="H12" s="31">
        <f>3/4*(1-(G12-1)/COUNTA(Botball_Scores[Team ID])) + 1/4*F12/MAX(Botball_Scores[[Seeding 1]:[Seeding 3]])</f>
        <v>0.1301369863</v>
      </c>
      <c r="I12" s="20">
        <v>9.0</v>
      </c>
      <c r="J12" s="27">
        <f>(COUNT(Botball_Scores[DE Rank])-I12+1)/COUNT(Botball_Scores[DE Rank])</f>
        <v>0.5555555556</v>
      </c>
      <c r="K12" s="33"/>
      <c r="L12" s="34">
        <f t="shared" si="1"/>
        <v>0</v>
      </c>
      <c r="M12" s="23">
        <f t="array" ref="M12">RANK(L12,{Botball_Scores[Paper Score];Open_Scores[Paper Score]})</f>
        <v>18</v>
      </c>
      <c r="N12" s="26"/>
      <c r="O12" s="27"/>
      <c r="P12" s="27"/>
      <c r="Q12" s="47"/>
      <c r="R12" s="34">
        <f t="shared" si="2"/>
        <v>0</v>
      </c>
      <c r="S12" s="31">
        <f t="shared" si="3"/>
        <v>0</v>
      </c>
      <c r="T12" s="23">
        <f>RANK(S12,Botball_Scores[Doc+Paper Score])</f>
        <v>14</v>
      </c>
      <c r="U12" s="34">
        <f t="shared" si="4"/>
        <v>0.6856925419</v>
      </c>
      <c r="V12" s="23">
        <f>RANK(U12,Botball_Scores[Overall Score])</f>
        <v>15</v>
      </c>
    </row>
    <row r="13">
      <c r="A13" s="25" t="str">
        <f>Teams!A13</f>
        <v>26-0622</v>
      </c>
      <c r="B13" s="16" t="str">
        <f t="array" ref="B13">_xlfn.XLOOKUP(A13,Botball[Team ID],Botball[Team Name], "")</f>
        <v>Teamname to be announced</v>
      </c>
      <c r="C13" s="26">
        <v>0.0</v>
      </c>
      <c r="D13" s="27">
        <v>41.0</v>
      </c>
      <c r="E13" s="27">
        <v>154.0</v>
      </c>
      <c r="F13" s="28">
        <f>IFERROR(__xludf.DUMMYFUNCTION("AVERAGE(QUERY(TRANSPOSE(C13:E13), ""SELECT * ORDER BY Col1 DESC LIMIT 2""))"),97.5)</f>
        <v>97.5</v>
      </c>
      <c r="G13" s="23">
        <f>RANK(F13,Botball_Scores[Seeding Total])</f>
        <v>12</v>
      </c>
      <c r="H13" s="31">
        <f>3/4*(1-(G13-1)/COUNTA(Botball_Scores[Team ID])) + 1/4*F13/MAX(Botball_Scores[[Seeding 1]:[Seeding 3]])</f>
        <v>0.2979667442</v>
      </c>
      <c r="I13" s="20">
        <v>9.0</v>
      </c>
      <c r="J13" s="27">
        <f>(COUNT(Botball_Scores[DE Rank])-I13+1)/COUNT(Botball_Scores[DE Rank])</f>
        <v>0.5555555556</v>
      </c>
      <c r="K13" s="33">
        <v>82.5</v>
      </c>
      <c r="L13" s="34">
        <f t="shared" si="1"/>
        <v>0.825</v>
      </c>
      <c r="M13" s="23">
        <f t="array" ref="M13">RANK(L13,{Botball_Scores[Paper Score];Open_Scores[Paper Score]})</f>
        <v>8</v>
      </c>
      <c r="N13" s="26">
        <v>26.0</v>
      </c>
      <c r="O13" s="27">
        <v>85.0</v>
      </c>
      <c r="P13" s="27">
        <v>94.0</v>
      </c>
      <c r="Q13" s="47"/>
      <c r="R13" s="34">
        <f t="shared" si="2"/>
        <v>0.8271604938</v>
      </c>
      <c r="S13" s="31">
        <f t="shared" si="3"/>
        <v>0.8260802469</v>
      </c>
      <c r="T13" s="23">
        <f>RANK(S13,Botball_Scores[Doc+Paper Score])</f>
        <v>5</v>
      </c>
      <c r="U13" s="34">
        <f t="shared" si="4"/>
        <v>1.679602547</v>
      </c>
      <c r="V13" s="23">
        <f>RANK(U13,Botball_Scores[Overall Score])</f>
        <v>7</v>
      </c>
    </row>
    <row r="14">
      <c r="A14" s="25" t="str">
        <f>Teams!A14</f>
        <v>26-0624</v>
      </c>
      <c r="B14" s="16" t="str">
        <f t="array" ref="B14">_xlfn.XLOOKUP(A14,Botball[Team ID],Botball[Team Name], "")</f>
        <v>roboDIC</v>
      </c>
      <c r="C14" s="26">
        <v>0.0</v>
      </c>
      <c r="D14" s="27">
        <v>0.0</v>
      </c>
      <c r="E14" s="27">
        <v>33.0</v>
      </c>
      <c r="F14" s="50">
        <f>IFERROR(__xludf.DUMMYFUNCTION("AVERAGE(QUERY(TRANSPOSE(C14:E14), ""SELECT * ORDER BY Col1 DESC LIMIT 2""))"),16.5)</f>
        <v>16.5</v>
      </c>
      <c r="G14" s="23">
        <f>RANK(F14,Botball_Scores[Seeding Total])</f>
        <v>18</v>
      </c>
      <c r="H14" s="31">
        <f>3/4*(1-(G14-1)/COUNTA(Botball_Scores[Team ID])) + 1/4*F14/MAX(Botball_Scores[[Seeding 1]:[Seeding 3]])</f>
        <v>0.04273283363</v>
      </c>
      <c r="I14" s="20">
        <v>17.0</v>
      </c>
      <c r="J14" s="27">
        <f>(COUNT(Botball_Scores[DE Rank])-I14+1)/COUNT(Botball_Scores[DE Rank])</f>
        <v>0.1111111111</v>
      </c>
      <c r="K14" s="33"/>
      <c r="L14" s="34">
        <f t="shared" si="1"/>
        <v>0</v>
      </c>
      <c r="M14" s="23">
        <f t="array" ref="M14">RANK(L14,{Botball_Scores[Paper Score];Open_Scores[Paper Score]})</f>
        <v>18</v>
      </c>
      <c r="N14" s="26"/>
      <c r="O14" s="27"/>
      <c r="P14" s="27"/>
      <c r="Q14" s="47"/>
      <c r="R14" s="34">
        <f t="shared" si="2"/>
        <v>0</v>
      </c>
      <c r="S14" s="31">
        <f t="shared" si="3"/>
        <v>0</v>
      </c>
      <c r="T14" s="23">
        <f>RANK(S14,Botball_Scores[Doc+Paper Score])</f>
        <v>14</v>
      </c>
      <c r="U14" s="34">
        <f t="shared" si="4"/>
        <v>0.1538439447</v>
      </c>
      <c r="V14" s="23">
        <f>RANK(U14,Botball_Scores[Overall Score])</f>
        <v>18</v>
      </c>
    </row>
    <row r="15">
      <c r="A15" s="25" t="str">
        <f>Teams!A15</f>
        <v>26-0625</v>
      </c>
      <c r="B15" s="16" t="str">
        <f t="array" ref="B15">_xlfn.XLOOKUP(A15,Botball[Team ID],Botball[Team Name], "")</f>
        <v>NotImplementedException</v>
      </c>
      <c r="C15" s="26">
        <v>18.0</v>
      </c>
      <c r="D15" s="27">
        <v>31.0</v>
      </c>
      <c r="E15" s="27">
        <v>26.0</v>
      </c>
      <c r="F15" s="28">
        <f>IFERROR(__xludf.DUMMYFUNCTION("AVERAGE(QUERY(TRANSPOSE(C15:E15), ""SELECT * ORDER BY Col1 DESC LIMIT 2""))"),28.5)</f>
        <v>28.5</v>
      </c>
      <c r="G15" s="23">
        <f>RANK(F15,Botball_Scores[Seeding Total])</f>
        <v>17</v>
      </c>
      <c r="H15" s="31">
        <f>3/4*(1-(G15-1)/COUNTA(Botball_Scores[Team ID])) + 1/4*F15/MAX(Botball_Scores[[Seeding 1]:[Seeding 3]])</f>
        <v>0.08517489446</v>
      </c>
      <c r="I15" s="20">
        <v>17.0</v>
      </c>
      <c r="J15" s="27">
        <f>(COUNT(Botball_Scores[DE Rank])-I15+1)/COUNT(Botball_Scores[DE Rank])</f>
        <v>0.1111111111</v>
      </c>
      <c r="K15" s="33">
        <v>53.5</v>
      </c>
      <c r="L15" s="34">
        <f t="shared" si="1"/>
        <v>0.535</v>
      </c>
      <c r="M15" s="23">
        <f t="array" ref="M15">RANK(L15,{Botball_Scores[Paper Score];Open_Scores[Paper Score]})</f>
        <v>16</v>
      </c>
      <c r="N15" s="26">
        <v>54.0</v>
      </c>
      <c r="O15" s="27">
        <v>85.0</v>
      </c>
      <c r="P15" s="27">
        <v>94.0</v>
      </c>
      <c r="Q15" s="47"/>
      <c r="R15" s="34">
        <f t="shared" si="2"/>
        <v>1</v>
      </c>
      <c r="S15" s="31">
        <f t="shared" si="3"/>
        <v>0.7675</v>
      </c>
      <c r="T15" s="23">
        <f>RANK(S15,Botball_Scores[Doc+Paper Score])</f>
        <v>8</v>
      </c>
      <c r="U15" s="34">
        <f t="shared" si="4"/>
        <v>0.9637860056</v>
      </c>
      <c r="V15" s="23">
        <f>RANK(U15,Botball_Scores[Overall Score])</f>
        <v>12</v>
      </c>
    </row>
    <row r="16">
      <c r="A16" s="25" t="str">
        <f>Teams!A16</f>
        <v>26-0628</v>
      </c>
      <c r="B16" s="16" t="str">
        <f t="array" ref="B16">_xlfn.XLOOKUP(A16,Botball[Team ID],Botball[Team Name], "")</f>
        <v>LiTec-3ABHIT</v>
      </c>
      <c r="C16" s="26">
        <v>46.0</v>
      </c>
      <c r="D16" s="27">
        <v>130.0</v>
      </c>
      <c r="E16" s="27">
        <v>43.0</v>
      </c>
      <c r="F16" s="50">
        <f>IFERROR(__xludf.DUMMYFUNCTION("AVERAGE(QUERY(TRANSPOSE(C16:E16), ""SELECT * ORDER BY Col1 DESC LIMIT 2""))"),88.0)</f>
        <v>88</v>
      </c>
      <c r="G16" s="23">
        <f>RANK(F16,Botball_Scores[Seeding Total])</f>
        <v>14</v>
      </c>
      <c r="H16" s="31">
        <f>3/4*(1-(G16-1)/COUNTA(Botball_Scores[Team ID])) + 1/4*F16/MAX(Botball_Scores[[Seeding 1]:[Seeding 3]])</f>
        <v>0.2140195572</v>
      </c>
      <c r="I16" s="20">
        <v>13.0</v>
      </c>
      <c r="J16" s="27">
        <f>(COUNT(Botball_Scores[DE Rank])-I16+1)/COUNT(Botball_Scores[DE Rank])</f>
        <v>0.3333333333</v>
      </c>
      <c r="K16" s="33"/>
      <c r="L16" s="34">
        <f t="shared" si="1"/>
        <v>0</v>
      </c>
      <c r="M16" s="23">
        <f t="array" ref="M16">RANK(L16,{Botball_Scores[Paper Score];Open_Scores[Paper Score]})</f>
        <v>18</v>
      </c>
      <c r="N16" s="26"/>
      <c r="O16" s="27"/>
      <c r="P16" s="27"/>
      <c r="Q16" s="47"/>
      <c r="R16" s="34">
        <f t="shared" si="2"/>
        <v>0</v>
      </c>
      <c r="S16" s="31">
        <f t="shared" si="3"/>
        <v>0</v>
      </c>
      <c r="T16" s="23">
        <f>RANK(S16,Botball_Scores[Doc+Paper Score])</f>
        <v>14</v>
      </c>
      <c r="U16" s="34">
        <f t="shared" si="4"/>
        <v>0.5473528905</v>
      </c>
      <c r="V16" s="23">
        <f>RANK(U16,Botball_Scores[Overall Score])</f>
        <v>17</v>
      </c>
    </row>
    <row r="17">
      <c r="A17" s="25" t="str">
        <f>Teams!A17</f>
        <v>26-0629</v>
      </c>
      <c r="B17" s="16" t="str">
        <f t="array" ref="B17">_xlfn.XLOOKUP(A17,Botball[Team ID],Botball[Team Name], "")</f>
        <v>Kurzschlusskommando</v>
      </c>
      <c r="C17" s="26">
        <v>67.0</v>
      </c>
      <c r="D17" s="27">
        <v>134.0</v>
      </c>
      <c r="E17" s="27">
        <v>133.0</v>
      </c>
      <c r="F17" s="28">
        <f>IFERROR(__xludf.DUMMYFUNCTION("AVERAGE(QUERY(TRANSPOSE(C17:E17), ""SELECT * ORDER BY Col1 DESC LIMIT 2""))"),133.5)</f>
        <v>133.5</v>
      </c>
      <c r="G17" s="23">
        <f>RANK(F17,Botball_Scores[Seeding Total])</f>
        <v>11</v>
      </c>
      <c r="H17" s="31">
        <f>3/4*(1-(G17-1)/COUNTA(Botball_Scores[Team ID])) + 1/4*F17/MAX(Botball_Scores[[Seeding 1]:[Seeding 3]])</f>
        <v>0.3419595933</v>
      </c>
      <c r="I17" s="20">
        <v>5.0</v>
      </c>
      <c r="J17" s="27">
        <f>(COUNT(Botball_Scores[DE Rank])-I17+1)/COUNT(Botball_Scores[DE Rank])</f>
        <v>0.7777777778</v>
      </c>
      <c r="K17" s="33"/>
      <c r="L17" s="34">
        <f t="shared" si="1"/>
        <v>0</v>
      </c>
      <c r="M17" s="23">
        <f t="array" ref="M17">RANK(L17,{Botball_Scores[Paper Score];Open_Scores[Paper Score]})</f>
        <v>18</v>
      </c>
      <c r="N17" s="26">
        <v>24.0</v>
      </c>
      <c r="O17" s="27"/>
      <c r="P17" s="27">
        <v>94.0</v>
      </c>
      <c r="Q17" s="47"/>
      <c r="R17" s="34">
        <f t="shared" si="2"/>
        <v>0.4814814815</v>
      </c>
      <c r="S17" s="31">
        <f t="shared" si="3"/>
        <v>0.2407407407</v>
      </c>
      <c r="T17" s="23">
        <f>RANK(S17,Botball_Scores[Doc+Paper Score])</f>
        <v>12</v>
      </c>
      <c r="U17" s="34">
        <f t="shared" si="4"/>
        <v>1.360478112</v>
      </c>
      <c r="V17" s="23">
        <f>RANK(U17,Botball_Scores[Overall Score])</f>
        <v>10</v>
      </c>
    </row>
    <row r="18">
      <c r="A18" s="25" t="str">
        <f>Teams!A18</f>
        <v>26-0635</v>
      </c>
      <c r="B18" s="16" t="str">
        <f t="array" ref="B18">_xlfn.XLOOKUP(A18,Botball[Team ID],Botball[Team Name], "")</f>
        <v>6502 Squirrels</v>
      </c>
      <c r="C18" s="26">
        <v>0.0</v>
      </c>
      <c r="D18" s="27">
        <v>390.0</v>
      </c>
      <c r="E18" s="27">
        <v>242.0</v>
      </c>
      <c r="F18" s="50">
        <f>IFERROR(__xludf.DUMMYFUNCTION("AVERAGE(QUERY(TRANSPOSE(C18:E18), ""SELECT * ORDER BY Col1 DESC LIMIT 2""))"),316.0)</f>
        <v>316</v>
      </c>
      <c r="G18" s="23">
        <f>RANK(F18,Botball_Scores[Seeding Total])</f>
        <v>7</v>
      </c>
      <c r="H18" s="31">
        <f>3/4*(1-(G18-1)/COUNTA(Botball_Scores[Team ID])) + 1/4*F18/MAX(Botball_Scores[[Seeding 1]:[Seeding 3]])</f>
        <v>0.5204187128</v>
      </c>
      <c r="I18" s="20">
        <v>4.0</v>
      </c>
      <c r="J18" s="27">
        <f>(COUNT(Botball_Scores[DE Rank])-I18+1)/COUNT(Botball_Scores[DE Rank])</f>
        <v>0.8333333333</v>
      </c>
      <c r="K18" s="33">
        <v>87.5</v>
      </c>
      <c r="L18" s="34">
        <f t="shared" si="1"/>
        <v>0.875</v>
      </c>
      <c r="M18" s="23">
        <f t="array" ref="M18">RANK(L18,{Botball_Scores[Paper Score];Open_Scores[Paper Score]})</f>
        <v>6</v>
      </c>
      <c r="N18" s="26">
        <v>54.0</v>
      </c>
      <c r="O18" s="27">
        <v>85.0</v>
      </c>
      <c r="P18" s="27">
        <v>94.0</v>
      </c>
      <c r="Q18" s="47"/>
      <c r="R18" s="34">
        <f t="shared" si="2"/>
        <v>1</v>
      </c>
      <c r="S18" s="31">
        <f t="shared" si="3"/>
        <v>0.9375</v>
      </c>
      <c r="T18" s="23">
        <f>RANK(S18,Botball_Scores[Doc+Paper Score])</f>
        <v>2</v>
      </c>
      <c r="U18" s="34">
        <f t="shared" si="4"/>
        <v>2.291252046</v>
      </c>
      <c r="V18" s="23">
        <f>RANK(U18,Botball_Scores[Overall Score])</f>
        <v>4</v>
      </c>
    </row>
    <row r="19">
      <c r="A19" s="25" t="str">
        <f>Teams!A19</f>
        <v>26-0663</v>
      </c>
      <c r="B19" s="16" t="str">
        <f t="array" ref="B19">_xlfn.XLOOKUP(A19,Botball[Team ID],Botball[Team Name], "")</f>
        <v>Titan</v>
      </c>
      <c r="C19" s="26">
        <v>21.0</v>
      </c>
      <c r="D19" s="27">
        <v>0.0</v>
      </c>
      <c r="E19" s="27">
        <v>169.0</v>
      </c>
      <c r="F19" s="28">
        <f>IFERROR(__xludf.DUMMYFUNCTION("AVERAGE(QUERY(TRANSPOSE(C19:E19), ""SELECT * ORDER BY Col1 DESC LIMIT 2""))"),95.0)</f>
        <v>95</v>
      </c>
      <c r="G19" s="23">
        <f>RANK(F19,Botball_Scores[Seeding Total])</f>
        <v>13</v>
      </c>
      <c r="H19" s="31">
        <f>3/4*(1-(G19-1)/COUNTA(Botball_Scores[Team ID])) + 1/4*F19/MAX(Botball_Scores[[Seeding 1]:[Seeding 3]])</f>
        <v>0.2561385371</v>
      </c>
      <c r="I19" s="20">
        <v>13.0</v>
      </c>
      <c r="J19" s="27">
        <f>(COUNT(Botball_Scores[DE Rank])-I19+1)/COUNT(Botball_Scores[DE Rank])</f>
        <v>0.3333333333</v>
      </c>
      <c r="K19" s="33"/>
      <c r="L19" s="34">
        <f t="shared" si="1"/>
        <v>0</v>
      </c>
      <c r="M19" s="23">
        <f t="array" ref="M19">RANK(L19,{Botball_Scores[Paper Score];Open_Scores[Paper Score]})</f>
        <v>18</v>
      </c>
      <c r="N19" s="26"/>
      <c r="O19" s="27"/>
      <c r="P19" s="27"/>
      <c r="Q19" s="47"/>
      <c r="R19" s="34">
        <f t="shared" si="2"/>
        <v>0</v>
      </c>
      <c r="S19" s="31">
        <f t="shared" si="3"/>
        <v>0</v>
      </c>
      <c r="T19" s="23">
        <f>RANK(S19,Botball_Scores[Doc+Paper Score])</f>
        <v>14</v>
      </c>
      <c r="U19" s="34">
        <f t="shared" si="4"/>
        <v>0.5894718704</v>
      </c>
      <c r="V19" s="23">
        <f>RANK(U19,Botball_Scores[Overall Score])</f>
        <v>16</v>
      </c>
    </row>
    <row r="20">
      <c r="A20" s="25" t="str">
        <f>Teams!A20</f>
        <v>26-0787</v>
      </c>
      <c r="B20" s="16" t="str">
        <f t="array" ref="B20">_xlfn.XLOOKUP(A20,Botball[Team ID],Botball[Team Name], "")</f>
        <v>Hammered Screws</v>
      </c>
      <c r="C20" s="26">
        <v>32.0</v>
      </c>
      <c r="D20" s="27">
        <v>78.0</v>
      </c>
      <c r="E20" s="27">
        <v>190.0</v>
      </c>
      <c r="F20" s="53">
        <f>IFERROR(__xludf.DUMMYFUNCTION("AVERAGE(QUERY(TRANSPOSE(C20:E20), ""SELECT * ORDER BY Col1 DESC LIMIT 2""))"),134.0)</f>
        <v>134</v>
      </c>
      <c r="G20" s="23">
        <f>RANK(F20,Botball_Scores[Seeding Total])</f>
        <v>10</v>
      </c>
      <c r="H20" s="31">
        <f>3/4*(1-(G20-1)/COUNTA(Botball_Scores[Team ID])) + 1/4*F20/MAX(Botball_Scores[[Seeding 1]:[Seeding 3]])</f>
        <v>0.3836585681</v>
      </c>
      <c r="I20" s="20">
        <v>9.0</v>
      </c>
      <c r="J20" s="27">
        <f>(COUNT(Botball_Scores[DE Rank])-I20+1)/COUNT(Botball_Scores[DE Rank])</f>
        <v>0.5555555556</v>
      </c>
      <c r="K20" s="33"/>
      <c r="L20" s="34">
        <f t="shared" si="1"/>
        <v>0</v>
      </c>
      <c r="M20" s="23">
        <f t="array" ref="M20">RANK(L20,{Botball_Scores[Paper Score];Open_Scores[Paper Score]})</f>
        <v>18</v>
      </c>
      <c r="N20" s="26"/>
      <c r="O20" s="27"/>
      <c r="P20" s="27"/>
      <c r="Q20" s="47"/>
      <c r="R20" s="34">
        <f t="shared" si="2"/>
        <v>0</v>
      </c>
      <c r="S20" s="31">
        <f t="shared" si="3"/>
        <v>0</v>
      </c>
      <c r="T20" s="23">
        <f>RANK(S20,Botball_Scores[Doc+Paper Score])</f>
        <v>14</v>
      </c>
      <c r="U20" s="34">
        <f t="shared" si="4"/>
        <v>0.9392141237</v>
      </c>
      <c r="V20" s="23">
        <f>RANK(U20,Botball_Scores[Overall Score])</f>
        <v>13</v>
      </c>
    </row>
    <row r="21">
      <c r="A21" s="51"/>
      <c r="B21" s="51"/>
      <c r="C21" s="51"/>
      <c r="D21" s="51"/>
      <c r="E21" s="51"/>
      <c r="F21" s="51"/>
      <c r="G21" s="54"/>
      <c r="H21" s="51"/>
      <c r="I21" s="54"/>
      <c r="J21" s="51"/>
      <c r="K21" s="51"/>
      <c r="L21" s="51"/>
      <c r="M21" s="54"/>
      <c r="N21" s="51"/>
      <c r="O21" s="51"/>
      <c r="P21" s="51"/>
      <c r="Q21" s="51"/>
      <c r="R21" s="51"/>
      <c r="S21" s="51"/>
      <c r="T21" s="54"/>
      <c r="U21" s="51"/>
      <c r="V21" s="54"/>
    </row>
    <row r="22" ht="90.75" customHeight="1">
      <c r="A22" s="3" t="s">
        <v>0</v>
      </c>
      <c r="B22" s="3" t="s">
        <v>1</v>
      </c>
      <c r="C22" s="4" t="s">
        <v>23</v>
      </c>
      <c r="D22" s="3" t="s">
        <v>25</v>
      </c>
      <c r="E22" s="3" t="s">
        <v>27</v>
      </c>
      <c r="F22" s="4" t="s">
        <v>29</v>
      </c>
      <c r="G22" s="18" t="s">
        <v>31</v>
      </c>
      <c r="H22" s="19" t="s">
        <v>33</v>
      </c>
      <c r="I22" s="5" t="s">
        <v>36</v>
      </c>
      <c r="J22" s="19" t="s">
        <v>37</v>
      </c>
      <c r="K22" s="21" t="s">
        <v>39</v>
      </c>
      <c r="L22" s="21" t="s">
        <v>41</v>
      </c>
      <c r="M22" s="18" t="s">
        <v>43</v>
      </c>
      <c r="N22" s="55" t="s">
        <v>44</v>
      </c>
      <c r="O22" s="56" t="s">
        <v>46</v>
      </c>
      <c r="P22" s="56" t="s">
        <v>48</v>
      </c>
      <c r="Q22" s="56" t="s">
        <v>50</v>
      </c>
      <c r="R22" s="55" t="s">
        <v>52</v>
      </c>
      <c r="S22" s="56" t="s">
        <v>54</v>
      </c>
      <c r="T22" s="57" t="s">
        <v>55</v>
      </c>
      <c r="U22" s="21" t="s">
        <v>57</v>
      </c>
      <c r="V22" s="18" t="s">
        <v>59</v>
      </c>
    </row>
    <row r="23">
      <c r="A23" s="25" t="str">
        <f>Teams!A23</f>
        <v>OP-0059</v>
      </c>
      <c r="B23" s="25" t="str">
        <f>Teams!B23</f>
        <v>Snackkarotten</v>
      </c>
      <c r="C23" s="26">
        <v>1507.0</v>
      </c>
      <c r="D23" s="27">
        <v>1930.0</v>
      </c>
      <c r="E23" s="27">
        <v>1819.0</v>
      </c>
      <c r="F23" s="58">
        <f>IFERROR(__xludf.DUMMYFUNCTION("AVERAGE(QUERY(SORT(TRANSPOSE(C23:E23), 1, FALSE), ""SELECT * LIMIT 2""))"),1874.5)</f>
        <v>1874.5</v>
      </c>
      <c r="G23" s="23">
        <f>RANK(F23,Open_Scores[Seeding Total])</f>
        <v>1</v>
      </c>
      <c r="H23" s="31">
        <f>3/4*(1-(G23-1)/COUNTA(Open_Scores[Team ID])) + 1/4*F23/MAX(Open_Scores[[Seeding 1]:[Seeding 3]])</f>
        <v>0.9928108808</v>
      </c>
      <c r="I23" s="20">
        <v>1.0</v>
      </c>
      <c r="J23" s="27">
        <f>(COUNT(Open_Scores[DE Rank])-I23+1)/COUNT(Open_Scores[DE Rank])</f>
        <v>1</v>
      </c>
      <c r="K23" s="33">
        <v>78.5</v>
      </c>
      <c r="L23" s="34">
        <f t="shared" ref="L23:L30" si="5">K23/100</f>
        <v>0.785</v>
      </c>
      <c r="M23" s="23">
        <f t="array" ref="M23">RANK(L23,{Botball_Scores[Paper Score];Open_Scores[Paper Score]})</f>
        <v>9</v>
      </c>
      <c r="N23" s="59"/>
      <c r="O23" s="60"/>
      <c r="P23" s="60"/>
      <c r="Q23" s="47"/>
      <c r="R23" s="61"/>
      <c r="S23" s="47"/>
      <c r="T23" s="62"/>
      <c r="U23" s="34">
        <f t="shared" ref="U23:U30" si="6">H23 + J23 + S23</f>
        <v>1.992810881</v>
      </c>
      <c r="V23" s="23">
        <f>RANK(U23,Open_Scores[Overall Score])</f>
        <v>1</v>
      </c>
    </row>
    <row r="24">
      <c r="A24" s="25" t="str">
        <f>Teams!A24</f>
        <v>OP-0061</v>
      </c>
      <c r="B24" s="16" t="str">
        <f t="array" ref="B24">_xlfn.XLOOKUP(A24,Open[Team ID],Open[Team Name], "")</f>
        <v>Error0x43</v>
      </c>
      <c r="C24" s="26">
        <v>29.0</v>
      </c>
      <c r="D24" s="27">
        <v>240.0</v>
      </c>
      <c r="E24" s="27">
        <v>457.0</v>
      </c>
      <c r="F24" s="58">
        <f>IFERROR(__xludf.DUMMYFUNCTION("AVERAGE(QUERY(SORT(TRANSPOSE(C24:E24), 1, FALSE), ""SELECT * LIMIT 2""))"),348.5)</f>
        <v>348.5</v>
      </c>
      <c r="G24" s="23">
        <f>RANK(F24,Open_Scores[Seeding Total])</f>
        <v>3</v>
      </c>
      <c r="H24" s="31">
        <f>3/4*(1-(G24-1)/COUNTA(Open_Scores[Team ID])) + 1/4*F24/MAX(Open_Scores[[Seeding 1]:[Seeding 3]])</f>
        <v>0.607642487</v>
      </c>
      <c r="I24" s="20">
        <v>4.0</v>
      </c>
      <c r="J24" s="27">
        <f>(COUNT(Open_Scores[DE Rank])-I24+1)/COUNT(Open_Scores[DE Rank])</f>
        <v>0.625</v>
      </c>
      <c r="K24" s="33"/>
      <c r="L24" s="34">
        <f t="shared" si="5"/>
        <v>0</v>
      </c>
      <c r="M24" s="23">
        <f t="array" ref="M24">RANK(L24,{Botball_Scores[Paper Score];Open_Scores[Paper Score]})</f>
        <v>18</v>
      </c>
      <c r="N24" s="59"/>
      <c r="O24" s="60"/>
      <c r="P24" s="60"/>
      <c r="Q24" s="47"/>
      <c r="R24" s="61"/>
      <c r="S24" s="47"/>
      <c r="T24" s="62"/>
      <c r="U24" s="34">
        <f t="shared" si="6"/>
        <v>1.232642487</v>
      </c>
      <c r="V24" s="23">
        <f>RANK(U24,Open_Scores[Overall Score])</f>
        <v>3</v>
      </c>
    </row>
    <row r="25">
      <c r="A25" s="25" t="str">
        <f>Teams!A25</f>
        <v>OP-0062</v>
      </c>
      <c r="B25" s="16" t="str">
        <f t="array" ref="B25">_xlfn.XLOOKUP(A25,Open[Team ID],Open[Team Name], "")</f>
        <v>SAYAS</v>
      </c>
      <c r="C25" s="26">
        <v>1284.0</v>
      </c>
      <c r="D25" s="27">
        <v>35.0</v>
      </c>
      <c r="E25" s="27">
        <v>1306.0</v>
      </c>
      <c r="F25" s="58">
        <f>IFERROR(__xludf.DUMMYFUNCTION("AVERAGE(QUERY(SORT(TRANSPOSE(C25:E25), 1, FALSE), ""SELECT * LIMIT 2""))"),1295.0)</f>
        <v>1295</v>
      </c>
      <c r="G25" s="23">
        <f>RANK(F25,Open_Scores[Seeding Total])</f>
        <v>2</v>
      </c>
      <c r="H25" s="31">
        <f>3/4*(1-(G25-1)/COUNTA(Open_Scores[Team ID])) + 1/4*F25/MAX(Open_Scores[[Seeding 1]:[Seeding 3]])</f>
        <v>0.823996114</v>
      </c>
      <c r="I25" s="20">
        <v>2.0</v>
      </c>
      <c r="J25" s="27">
        <f>(COUNT(Open_Scores[DE Rank])-I25+1)/COUNT(Open_Scores[DE Rank])</f>
        <v>0.875</v>
      </c>
      <c r="K25" s="33">
        <v>89.0</v>
      </c>
      <c r="L25" s="34">
        <f t="shared" si="5"/>
        <v>0.89</v>
      </c>
      <c r="M25" s="23">
        <f t="array" ref="M25">RANK(L25,{Botball_Scores[Paper Score];Open_Scores[Paper Score]})</f>
        <v>5</v>
      </c>
      <c r="N25" s="59"/>
      <c r="O25" s="60"/>
      <c r="P25" s="60"/>
      <c r="Q25" s="47"/>
      <c r="R25" s="61"/>
      <c r="S25" s="47"/>
      <c r="T25" s="62"/>
      <c r="U25" s="34">
        <f t="shared" si="6"/>
        <v>1.698996114</v>
      </c>
      <c r="V25" s="23">
        <f>RANK(U25,Open_Scores[Overall Score])</f>
        <v>2</v>
      </c>
    </row>
    <row r="26">
      <c r="A26" s="25" t="str">
        <f>Teams!A26</f>
        <v>OP-0063</v>
      </c>
      <c r="B26" s="16" t="str">
        <f t="array" ref="B26">_xlfn.XLOOKUP(A26,Open[Team ID],Open[Team Name], "")</f>
        <v>CursedBytes</v>
      </c>
      <c r="C26" s="26">
        <v>145.0</v>
      </c>
      <c r="D26" s="27">
        <v>236.0</v>
      </c>
      <c r="E26" s="27">
        <v>253.0</v>
      </c>
      <c r="F26" s="58">
        <f>IFERROR(__xludf.DUMMYFUNCTION("AVERAGE(QUERY(SORT(TRANSPOSE(C26:E26), 1, FALSE), ""SELECT * LIMIT 2""))"),244.5)</f>
        <v>244.5</v>
      </c>
      <c r="G26" s="23">
        <f>RANK(F26,Open_Scores[Seeding Total])</f>
        <v>4</v>
      </c>
      <c r="H26" s="31">
        <f>3/4*(1-(G26-1)/COUNTA(Open_Scores[Team ID])) + 1/4*F26/MAX(Open_Scores[[Seeding 1]:[Seeding 3]])</f>
        <v>0.5004209845</v>
      </c>
      <c r="I26" s="20">
        <v>5.0</v>
      </c>
      <c r="J26" s="27">
        <f>(COUNT(Open_Scores[DE Rank])-I26+1)/COUNT(Open_Scores[DE Rank])</f>
        <v>0.5</v>
      </c>
      <c r="K26" s="33">
        <v>98.0</v>
      </c>
      <c r="L26" s="34">
        <f t="shared" si="5"/>
        <v>0.98</v>
      </c>
      <c r="M26" s="23">
        <f t="array" ref="M26">RANK(L26,{Botball_Scores[Paper Score];Open_Scores[Paper Score]})</f>
        <v>3</v>
      </c>
      <c r="N26" s="59"/>
      <c r="O26" s="60"/>
      <c r="P26" s="60"/>
      <c r="Q26" s="47"/>
      <c r="R26" s="61"/>
      <c r="S26" s="47"/>
      <c r="T26" s="62"/>
      <c r="U26" s="34">
        <f t="shared" si="6"/>
        <v>1.000420984</v>
      </c>
      <c r="V26" s="23">
        <f>RANK(U26,Open_Scores[Overall Score])</f>
        <v>5</v>
      </c>
    </row>
    <row r="27">
      <c r="A27" s="25" t="str">
        <f>Teams!A27</f>
        <v>OP-0064</v>
      </c>
      <c r="B27" s="16" t="str">
        <f t="array" ref="B27">_xlfn.XLOOKUP(A27,Open[Team ID],Open[Team Name], "")</f>
        <v>Tracer</v>
      </c>
      <c r="C27" s="26">
        <v>159.0</v>
      </c>
      <c r="D27" s="27">
        <v>128.0</v>
      </c>
      <c r="E27" s="27">
        <v>76.0</v>
      </c>
      <c r="F27" s="58">
        <f>IFERROR(__xludf.DUMMYFUNCTION("AVERAGE(QUERY(SORT(TRANSPOSE(C27:E27), 1, FALSE), ""SELECT * LIMIT 2""))"),143.5)</f>
        <v>143.5</v>
      </c>
      <c r="G27" s="23">
        <f>RANK(F27,Open_Scores[Seeding Total])</f>
        <v>6</v>
      </c>
      <c r="H27" s="31">
        <f>3/4*(1-(G27-1)/COUNTA(Open_Scores[Team ID])) + 1/4*F27/MAX(Open_Scores[[Seeding 1]:[Seeding 3]])</f>
        <v>0.2998380829</v>
      </c>
      <c r="I27" s="20">
        <v>5.0</v>
      </c>
      <c r="J27" s="27">
        <f>(COUNT(Open_Scores[DE Rank])-I27+1)/COUNT(Open_Scores[DE Rank])</f>
        <v>0.5</v>
      </c>
      <c r="K27" s="33">
        <v>100.0</v>
      </c>
      <c r="L27" s="34">
        <f t="shared" si="5"/>
        <v>1</v>
      </c>
      <c r="M27" s="23">
        <f t="array" ref="M27">RANK(L27,{Botball_Scores[Paper Score];Open_Scores[Paper Score]})</f>
        <v>1</v>
      </c>
      <c r="N27" s="59"/>
      <c r="O27" s="60"/>
      <c r="P27" s="60"/>
      <c r="Q27" s="47"/>
      <c r="R27" s="61"/>
      <c r="S27" s="47"/>
      <c r="T27" s="62"/>
      <c r="U27" s="34">
        <f t="shared" si="6"/>
        <v>0.7998380829</v>
      </c>
      <c r="V27" s="23">
        <f>RANK(U27,Open_Scores[Overall Score])</f>
        <v>6</v>
      </c>
    </row>
    <row r="28">
      <c r="A28" s="25" t="str">
        <f>Teams!A28</f>
        <v>OP-0065</v>
      </c>
      <c r="B28" s="16" t="str">
        <f t="array" ref="B28">_xlfn.XLOOKUP(A28,Open[Team ID],Open[Team Name], "")</f>
        <v>Inchident</v>
      </c>
      <c r="C28" s="26">
        <v>146.0</v>
      </c>
      <c r="D28" s="27">
        <v>39.0</v>
      </c>
      <c r="E28" s="27">
        <v>236.0</v>
      </c>
      <c r="F28" s="58">
        <f>IFERROR(__xludf.DUMMYFUNCTION("AVERAGE(QUERY(SORT(TRANSPOSE(C28:E28), 1, FALSE), ""SELECT * LIMIT 2""))"),191.0)</f>
        <v>191</v>
      </c>
      <c r="G28" s="23">
        <f>RANK(F28,Open_Scores[Seeding Total])</f>
        <v>5</v>
      </c>
      <c r="H28" s="31">
        <f>3/4*(1-(G28-1)/COUNTA(Open_Scores[Team ID])) + 1/4*F28/MAX(Open_Scores[[Seeding 1]:[Seeding 3]])</f>
        <v>0.3997409326</v>
      </c>
      <c r="I28" s="20">
        <v>3.0</v>
      </c>
      <c r="J28" s="27">
        <f>(COUNT(Open_Scores[DE Rank])-I28+1)/COUNT(Open_Scores[DE Rank])</f>
        <v>0.75</v>
      </c>
      <c r="K28" s="33">
        <v>68.5</v>
      </c>
      <c r="L28" s="34">
        <f t="shared" si="5"/>
        <v>0.685</v>
      </c>
      <c r="M28" s="23">
        <f t="array" ref="M28">RANK(L28,{Botball_Scores[Paper Score];Open_Scores[Paper Score]})</f>
        <v>13</v>
      </c>
      <c r="N28" s="59"/>
      <c r="O28" s="60"/>
      <c r="P28" s="60"/>
      <c r="Q28" s="47"/>
      <c r="R28" s="61"/>
      <c r="S28" s="47"/>
      <c r="T28" s="62"/>
      <c r="U28" s="34">
        <f t="shared" si="6"/>
        <v>1.149740933</v>
      </c>
      <c r="V28" s="23">
        <f>RANK(U28,Open_Scores[Overall Score])</f>
        <v>4</v>
      </c>
    </row>
    <row r="29">
      <c r="A29" s="25" t="str">
        <f>Teams!A29</f>
        <v>OP-0066</v>
      </c>
      <c r="B29" s="63" t="str">
        <f t="array" ref="B29">_xlfn.XLOOKUP(A29,Open[Team ID],Open[Team Name], "")</f>
        <v>Abmeldekommando</v>
      </c>
      <c r="C29" s="26">
        <v>18.0</v>
      </c>
      <c r="D29" s="27">
        <v>29.0</v>
      </c>
      <c r="E29" s="27">
        <v>44.0</v>
      </c>
      <c r="F29" s="58">
        <f>IFERROR(__xludf.DUMMYFUNCTION("AVERAGE(QUERY(SORT(TRANSPOSE(C29:E29), 1, FALSE), ""SELECT * LIMIT 2""))"),36.5)</f>
        <v>36.5</v>
      </c>
      <c r="G29" s="23">
        <f>RANK(F29,Open_Scores[Seeding Total])</f>
        <v>7</v>
      </c>
      <c r="H29" s="31">
        <f>3/4*(1-(G29-1)/COUNTA(Open_Scores[Team ID])) + 1/4*F29/MAX(Open_Scores[[Seeding 1]:[Seeding 3]])</f>
        <v>0.1922279793</v>
      </c>
      <c r="I29" s="20">
        <v>7.0</v>
      </c>
      <c r="J29" s="27">
        <f>(COUNT(Open_Scores[DE Rank])-I29+1)/COUNT(Open_Scores[DE Rank])</f>
        <v>0.25</v>
      </c>
      <c r="K29" s="33">
        <v>50.5</v>
      </c>
      <c r="L29" s="34">
        <f t="shared" si="5"/>
        <v>0.505</v>
      </c>
      <c r="M29" s="23">
        <f t="array" ref="M29">RANK(L29,{Botball_Scores[Paper Score];Open_Scores[Paper Score]})</f>
        <v>17</v>
      </c>
      <c r="N29" s="59"/>
      <c r="O29" s="60"/>
      <c r="P29" s="60"/>
      <c r="Q29" s="47"/>
      <c r="R29" s="61"/>
      <c r="S29" s="47"/>
      <c r="T29" s="62"/>
      <c r="U29" s="34">
        <f t="shared" si="6"/>
        <v>0.4422279793</v>
      </c>
      <c r="V29" s="23">
        <f>RANK(U29,Open_Scores[Overall Score])</f>
        <v>7</v>
      </c>
    </row>
    <row r="30">
      <c r="A30" s="25" t="str">
        <f>Teams!A30</f>
        <v>OP-0067</v>
      </c>
      <c r="B30" s="16" t="str">
        <f t="array" ref="B30">_xlfn.XLOOKUP(A30,Open[Team ID],Open[Team Name], "")</f>
        <v>Cyber Warrior III</v>
      </c>
      <c r="C30" s="26">
        <v>31.0</v>
      </c>
      <c r="D30" s="27">
        <v>29.0</v>
      </c>
      <c r="E30" s="27">
        <v>42.0</v>
      </c>
      <c r="F30" s="58">
        <f>IFERROR(__xludf.DUMMYFUNCTION("AVERAGE(QUERY(SORT(TRANSPOSE(C30:E30), 1, FALSE), ""SELECT * LIMIT 2""))"),36.5)</f>
        <v>36.5</v>
      </c>
      <c r="G30" s="23">
        <f>RANK(F30,Open_Scores[Seeding Total])</f>
        <v>7</v>
      </c>
      <c r="H30" s="31">
        <f>3/4*(1-(G30-1)/COUNTA(Open_Scores[Team ID])) + 1/4*F30/MAX(Open_Scores[[Seeding 1]:[Seeding 3]])</f>
        <v>0.1922279793</v>
      </c>
      <c r="I30" s="20">
        <v>7.0</v>
      </c>
      <c r="J30" s="27">
        <f>(COUNT(Open_Scores[DE Rank])-I30+1)/COUNT(Open_Scores[DE Rank])</f>
        <v>0.25</v>
      </c>
      <c r="K30" s="33">
        <v>70.5</v>
      </c>
      <c r="L30" s="34">
        <f t="shared" si="5"/>
        <v>0.705</v>
      </c>
      <c r="M30" s="23">
        <f t="array" ref="M30">RANK(L30,{Botball_Scores[Paper Score];Open_Scores[Paper Score]})</f>
        <v>12</v>
      </c>
      <c r="N30" s="59"/>
      <c r="O30" s="60"/>
      <c r="P30" s="60"/>
      <c r="Q30" s="47"/>
      <c r="R30" s="61"/>
      <c r="S30" s="47"/>
      <c r="T30" s="62"/>
      <c r="U30" s="34">
        <f t="shared" si="6"/>
        <v>0.4422279793</v>
      </c>
      <c r="V30" s="23">
        <f>RANK(U30,Open_Scores[Overall Score])</f>
        <v>7</v>
      </c>
    </row>
    <row r="31">
      <c r="A31" s="64"/>
      <c r="B31" s="64"/>
      <c r="C31" s="65"/>
      <c r="D31" s="64"/>
      <c r="E31" s="64"/>
      <c r="F31" s="65"/>
      <c r="G31" s="66"/>
      <c r="H31" s="64"/>
      <c r="I31" s="67"/>
      <c r="J31" s="64"/>
      <c r="K31" s="65"/>
      <c r="L31" s="65"/>
      <c r="M31" s="66"/>
      <c r="N31" s="65"/>
      <c r="O31" s="64"/>
      <c r="P31" s="64"/>
      <c r="Q31" s="51"/>
      <c r="R31" s="65"/>
      <c r="S31" s="64"/>
      <c r="T31" s="66"/>
      <c r="U31" s="65"/>
      <c r="V31" s="66"/>
    </row>
  </sheetData>
  <dataValidations>
    <dataValidation type="custom" allowBlank="1" showDropDown="1" sqref="F3:F20 H3:H20 K3:L20 R3:S20 F23:F30 H23:H30 K23:L30">
      <formula1>AND(ISNUMBER(F3),(NOT(OR(NOT(ISERROR(DATEVALUE(F3))), AND(ISNUMBER(F3), LEFT(CELL("format", F3))="D")))))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10" width="7.63"/>
    <col customWidth="1" min="11" max="11" width="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</row>
    <row r="2" ht="65.25" customHeight="1">
      <c r="A2" s="3" t="s">
        <v>0</v>
      </c>
      <c r="B2" s="3" t="s">
        <v>1</v>
      </c>
      <c r="C2" s="4" t="s">
        <v>2</v>
      </c>
      <c r="D2" s="3" t="s">
        <v>3</v>
      </c>
      <c r="E2" s="3" t="s">
        <v>5</v>
      </c>
      <c r="F2" s="6" t="s">
        <v>6</v>
      </c>
      <c r="G2" s="6" t="s">
        <v>7</v>
      </c>
      <c r="H2" s="6" t="s">
        <v>8</v>
      </c>
      <c r="I2" s="8" t="s">
        <v>10</v>
      </c>
      <c r="J2" s="10" t="s">
        <v>4</v>
      </c>
      <c r="K2" s="7"/>
    </row>
    <row r="3">
      <c r="A3" s="9" t="s">
        <v>11</v>
      </c>
      <c r="B3" s="16" t="str">
        <f t="array" ref="B3">_xlfn.XLOOKUP(A3,Aerial[Team ID],Aerial[Team Name], "")</f>
        <v>Drone Masters</v>
      </c>
      <c r="C3" s="17">
        <v>70.0</v>
      </c>
      <c r="D3" s="9">
        <v>52.5</v>
      </c>
      <c r="E3" s="9">
        <v>115.0</v>
      </c>
      <c r="F3" s="9">
        <v>30.0</v>
      </c>
      <c r="G3" s="9">
        <v>60.0</v>
      </c>
      <c r="H3" s="9">
        <v>105.0</v>
      </c>
      <c r="I3" s="22">
        <f t="shared" ref="I3:I9" si="1">AVERAGE(LARGE(C3:H3,1),LARGE(C3:H3,2),LARGE(C3:H3,3))</f>
        <v>96.66666667</v>
      </c>
      <c r="J3" s="23">
        <f>RANK(I3,Aerial_Scores[Score])</f>
        <v>4</v>
      </c>
    </row>
    <row r="4">
      <c r="A4" s="25" t="s">
        <v>61</v>
      </c>
      <c r="B4" s="25" t="str">
        <f t="array" ref="B4">_xlfn.XLOOKUP(A4,Aerial[Team ID],Aerial[Team Name], "")</f>
        <v>Lavadrone</v>
      </c>
      <c r="C4" s="17">
        <v>40.0</v>
      </c>
      <c r="D4" s="9">
        <v>85.0</v>
      </c>
      <c r="E4" s="9">
        <v>60.0</v>
      </c>
      <c r="F4" s="9">
        <v>30.0</v>
      </c>
      <c r="G4" s="9">
        <v>95.0</v>
      </c>
      <c r="H4" s="9">
        <v>105.0</v>
      </c>
      <c r="I4" s="22">
        <f t="shared" si="1"/>
        <v>95</v>
      </c>
      <c r="J4" s="23">
        <f>RANK(I4,Aerial_Scores[Score])</f>
        <v>5</v>
      </c>
    </row>
    <row r="5">
      <c r="A5" s="9" t="s">
        <v>79</v>
      </c>
      <c r="B5" s="25" t="str">
        <f t="array" ref="B5">_xlfn.XLOOKUP(A5,Aerial[Team ID],Aerial[Team Name], "")</f>
        <v>EVA-01</v>
      </c>
      <c r="C5" s="17">
        <v>75.0</v>
      </c>
      <c r="D5" s="9">
        <v>0.0</v>
      </c>
      <c r="E5" s="9">
        <v>30.0</v>
      </c>
      <c r="F5" s="9">
        <v>125.0</v>
      </c>
      <c r="G5" s="9">
        <v>75.0</v>
      </c>
      <c r="H5" s="9">
        <v>110.0</v>
      </c>
      <c r="I5" s="22">
        <f t="shared" si="1"/>
        <v>103.3333333</v>
      </c>
      <c r="J5" s="23">
        <f>RANK(I5,Aerial_Scores[Score])</f>
        <v>2</v>
      </c>
    </row>
    <row r="6">
      <c r="A6" s="9" t="s">
        <v>91</v>
      </c>
      <c r="B6" s="25" t="str">
        <f t="array" ref="B6">_xlfn.XLOOKUP(A6,Aerial[Team ID],Aerial[Team Name], "")</f>
        <v>Die blauen Bananen</v>
      </c>
      <c r="C6" s="17">
        <v>0.0</v>
      </c>
      <c r="D6" s="9">
        <v>120.0</v>
      </c>
      <c r="E6" s="9">
        <v>110.0</v>
      </c>
      <c r="F6" s="9">
        <v>130.0</v>
      </c>
      <c r="G6" s="9">
        <v>85.0</v>
      </c>
      <c r="H6" s="9">
        <v>30.0</v>
      </c>
      <c r="I6" s="22">
        <f t="shared" si="1"/>
        <v>120</v>
      </c>
      <c r="J6" s="23">
        <f>RANK(I6,Aerial_Scores[Score])</f>
        <v>1</v>
      </c>
    </row>
    <row r="7">
      <c r="A7" s="9" t="s">
        <v>102</v>
      </c>
      <c r="B7" s="25" t="str">
        <f t="array" ref="B7">_xlfn.XLOOKUP(A7,Aerial[Team ID],Aerial[Team Name], "")</f>
        <v>Custodis Aeris</v>
      </c>
      <c r="C7" s="17">
        <v>55.0</v>
      </c>
      <c r="D7" s="9">
        <v>75.0</v>
      </c>
      <c r="E7" s="9">
        <v>125.0</v>
      </c>
      <c r="F7" s="9">
        <v>100.0</v>
      </c>
      <c r="G7" s="9">
        <v>60.0</v>
      </c>
      <c r="H7" s="9">
        <v>30.0</v>
      </c>
      <c r="I7" s="22">
        <f t="shared" si="1"/>
        <v>100</v>
      </c>
      <c r="J7" s="23">
        <f>RANK(I7,Aerial_Scores[Score])</f>
        <v>3</v>
      </c>
    </row>
    <row r="8">
      <c r="A8" s="9" t="s">
        <v>111</v>
      </c>
      <c r="B8" s="25" t="str">
        <f t="array" ref="B8">_xlfn.XLOOKUP(A8,Aerial[Team ID],Aerial[Team Name], "")</f>
        <v>BGZ1</v>
      </c>
      <c r="C8" s="17">
        <v>100.0</v>
      </c>
      <c r="D8" s="9">
        <v>40.0</v>
      </c>
      <c r="E8" s="9">
        <v>30.0</v>
      </c>
      <c r="F8" s="9">
        <v>75.0</v>
      </c>
      <c r="G8" s="9">
        <v>30.0</v>
      </c>
      <c r="H8" s="9">
        <v>100.0</v>
      </c>
      <c r="I8" s="22">
        <f t="shared" si="1"/>
        <v>91.66666667</v>
      </c>
      <c r="J8" s="23">
        <f>RANK(I8,Aerial_Scores[Score])</f>
        <v>6</v>
      </c>
    </row>
    <row r="9">
      <c r="A9" s="38" t="s">
        <v>120</v>
      </c>
      <c r="B9" s="40" t="str">
        <f t="array" ref="B9">_xlfn.XLOOKUP(A9,Aerial[Team ID],Aerial[Team Name], "")</f>
        <v>BGZ2</v>
      </c>
      <c r="C9" s="41">
        <v>55.0</v>
      </c>
      <c r="D9" s="38">
        <v>20.0</v>
      </c>
      <c r="E9" s="38">
        <v>85.0</v>
      </c>
      <c r="F9" s="38">
        <v>30.0</v>
      </c>
      <c r="G9" s="38">
        <v>30.0</v>
      </c>
      <c r="H9" s="38">
        <v>85.0</v>
      </c>
      <c r="I9" s="43">
        <f t="shared" si="1"/>
        <v>75</v>
      </c>
      <c r="J9" s="44">
        <f>RANK(I9,Aerial_Scores[Score])</f>
        <v>7</v>
      </c>
    </row>
    <row r="10">
      <c r="C10" s="45"/>
      <c r="J10" s="46"/>
    </row>
  </sheetData>
  <dataValidations>
    <dataValidation type="custom" allowBlank="1" showDropDown="1" sqref="I3:I9">
      <formula1>AND(ISNUMBER(I3),(NOT(OR(NOT(ISERROR(DATEVALUE(I3))), AND(ISNUMBER(I3), LEFT(CELL("format", I3))="D")))))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38.88"/>
    <col customWidth="1" min="3" max="3" width="7.63"/>
    <col customWidth="1" min="4" max="4" width="3.5"/>
  </cols>
  <sheetData>
    <row r="1">
      <c r="A1" s="1"/>
      <c r="B1" s="1"/>
      <c r="C1" s="2"/>
    </row>
    <row r="2" ht="65.25" customHeight="1">
      <c r="A2" s="3" t="s">
        <v>0</v>
      </c>
      <c r="B2" s="3" t="s">
        <v>1</v>
      </c>
      <c r="C2" s="5" t="s">
        <v>4</v>
      </c>
      <c r="D2" s="7"/>
    </row>
    <row r="3">
      <c r="A3" s="9" t="s">
        <v>9</v>
      </c>
      <c r="B3" s="16" t="str">
        <f t="array" ref="B3">_xlfn.XLOOKUP(A3,Alliance[Team ID],Alliance[Team Name], "")</f>
        <v>roboDIC &amp; cursedBytes</v>
      </c>
      <c r="C3" s="20">
        <v>5.0</v>
      </c>
    </row>
    <row r="4">
      <c r="A4" s="9" t="s">
        <v>38</v>
      </c>
      <c r="B4" s="16" t="str">
        <f t="array" ref="B4">_xlfn.XLOOKUP(A4,Alliance[Team ID],Alliance[Team Name], "")</f>
        <v>Pfuscher &amp; Failure Management</v>
      </c>
      <c r="C4" s="24">
        <v>1.0</v>
      </c>
    </row>
    <row r="5">
      <c r="A5" s="9" t="s">
        <v>62</v>
      </c>
      <c r="B5" s="16" t="str">
        <f t="array" ref="B5">_xlfn.XLOOKUP(A5,Alliance[Team ID],Alliance[Team Name], "")</f>
        <v>Die Hackler &amp; NotImplementedException</v>
      </c>
      <c r="C5" s="24">
        <v>7.0</v>
      </c>
    </row>
    <row r="6">
      <c r="A6" s="9" t="s">
        <v>74</v>
      </c>
      <c r="B6" s="16" t="str">
        <f t="array" ref="B6">_xlfn.XLOOKUP(A6,Alliance[Team ID],Alliance[Team Name], "")</f>
        <v>Hammered Screws &amp; Cyber Warrior III</v>
      </c>
      <c r="C6" s="24">
        <v>5.0</v>
      </c>
    </row>
    <row r="7">
      <c r="A7" s="9" t="s">
        <v>82</v>
      </c>
      <c r="B7" s="16" t="str">
        <f t="array" ref="B7">_xlfn.XLOOKUP(A7,Alliance[Team ID],Alliance[Team Name], "")</f>
        <v>Lord of the Bots &amp; tracer</v>
      </c>
      <c r="C7" s="24">
        <v>3.0</v>
      </c>
    </row>
    <row r="8">
      <c r="A8" s="9" t="s">
        <v>90</v>
      </c>
      <c r="B8" s="16" t="str">
        <f t="array" ref="B8">_xlfn.XLOOKUP(A8,Alliance[Team ID],Alliance[Team Name], "")</f>
        <v>Teamname to be announced &amp; Abmeldekommando</v>
      </c>
      <c r="C8" s="24">
        <v>4.0</v>
      </c>
    </row>
    <row r="9">
      <c r="A9" s="9" t="s">
        <v>94</v>
      </c>
      <c r="B9" s="16" t="str">
        <f t="array" ref="B9">_xlfn.XLOOKUP(A9,Alliance[Team ID],Alliance[Team Name], "")</f>
        <v>LiTec-3ABHIT &amp; Titan</v>
      </c>
      <c r="C9" s="29">
        <v>2.0</v>
      </c>
    </row>
    <row r="10">
      <c r="C10" s="3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38.88"/>
    <col customWidth="1" min="3" max="4" width="7.63"/>
    <col customWidth="1" min="5" max="5" width="3.5"/>
  </cols>
  <sheetData>
    <row r="1">
      <c r="A1" s="1"/>
      <c r="B1" s="1"/>
      <c r="C1" s="2"/>
      <c r="D1" s="2"/>
    </row>
    <row r="2" ht="90.75" customHeight="1">
      <c r="A2" s="3" t="s">
        <v>0</v>
      </c>
      <c r="B2" s="3" t="s">
        <v>1</v>
      </c>
      <c r="C2" s="35" t="s">
        <v>113</v>
      </c>
      <c r="D2" s="35" t="s">
        <v>4</v>
      </c>
      <c r="E2" s="7"/>
    </row>
    <row r="3">
      <c r="A3" s="9" t="s">
        <v>115</v>
      </c>
      <c r="B3" s="16" t="str">
        <f t="array" ref="B3">_xlfn.XLOOKUP(A3,Junior_Botball_Challenge[Team ID],Junior_Botball_Challenge[Team Name], "")</f>
        <v>3aSiegharts_A</v>
      </c>
      <c r="C3" s="9">
        <v>18.0</v>
      </c>
      <c r="D3" s="39">
        <f>RANK(C3,Junior_Botball_Challenge_Scores[Points for Solved Challenges])</f>
        <v>2</v>
      </c>
    </row>
    <row r="4">
      <c r="A4" s="9" t="s">
        <v>124</v>
      </c>
      <c r="B4" s="16" t="str">
        <f t="array" ref="B4">_xlfn.XLOOKUP(A4,Junior_Botball_Challenge[Team ID],Junior_Botball_Challenge[Team Name], "")</f>
        <v>3aSiegharts_B</v>
      </c>
      <c r="C4" s="9">
        <v>10.0</v>
      </c>
      <c r="D4" s="39">
        <f>RANK(C4,Junior_Botball_Challenge_Scores[Points for Solved Challenges])</f>
        <v>10</v>
      </c>
    </row>
    <row r="5">
      <c r="A5" s="9" t="s">
        <v>129</v>
      </c>
      <c r="B5" s="16" t="str">
        <f t="array" ref="B5">_xlfn.XLOOKUP(A5,Junior_Botball_Challenge[Team ID],Junior_Botball_Challenge[Team Name], "")</f>
        <v>Mr_PC</v>
      </c>
      <c r="C5" s="9">
        <v>7.0</v>
      </c>
      <c r="D5" s="39">
        <f>RANK(C5,Junior_Botball_Challenge_Scores[Points for Solved Challenges])</f>
        <v>12</v>
      </c>
    </row>
    <row r="6">
      <c r="A6" s="9" t="s">
        <v>132</v>
      </c>
      <c r="B6" s="16" t="str">
        <f t="array" ref="B6">_xlfn.XLOOKUP(A6,Junior_Botball_Challenge[Team ID],Junior_Botball_Challenge[Team Name], "")</f>
        <v>TucTucTuTu</v>
      </c>
      <c r="C6" s="9">
        <v>7.0</v>
      </c>
      <c r="D6" s="39">
        <f>RANK(C6,Junior_Botball_Challenge_Scores[Points for Solved Challenges])</f>
        <v>12</v>
      </c>
    </row>
    <row r="7">
      <c r="A7" s="9" t="s">
        <v>134</v>
      </c>
      <c r="B7" s="16" t="str">
        <f t="array" ref="B7">_xlfn.XLOOKUP(A7,Junior_Botball_Challenge[Team ID],Junior_Botball_Challenge[Team Name], "")</f>
        <v>Hackerjavi</v>
      </c>
      <c r="C7" s="9">
        <v>11.0</v>
      </c>
      <c r="D7" s="39">
        <f>RANK(C7,Junior_Botball_Challenge_Scores[Points for Solved Challenges])</f>
        <v>9</v>
      </c>
    </row>
    <row r="8">
      <c r="A8" s="9" t="s">
        <v>136</v>
      </c>
      <c r="B8" s="16" t="str">
        <f t="array" ref="B8">_xlfn.XLOOKUP(A8,Junior_Botball_Challenge[Team ID],Junior_Botball_Challenge[Team Name], "")</f>
        <v>Duzen</v>
      </c>
      <c r="C8" s="9">
        <v>7.0</v>
      </c>
      <c r="D8" s="39">
        <f>RANK(C8,Junior_Botball_Challenge_Scores[Points for Solved Challenges])</f>
        <v>12</v>
      </c>
    </row>
    <row r="9">
      <c r="A9" s="9" t="s">
        <v>138</v>
      </c>
      <c r="B9" s="16" t="str">
        <f t="array" ref="B9">_xlfn.XLOOKUP(A9,Junior_Botball_Challenge[Team ID],Junior_Botball_Challenge[Team Name], "")</f>
        <v>Jamo</v>
      </c>
      <c r="C9" s="9">
        <v>14.0</v>
      </c>
      <c r="D9" s="39">
        <f>RANK(C9,Junior_Botball_Challenge_Scores[Points for Solved Challenges])</f>
        <v>6</v>
      </c>
    </row>
    <row r="10">
      <c r="A10" s="9" t="s">
        <v>140</v>
      </c>
      <c r="B10" s="16" t="str">
        <f t="array" ref="B10">_xlfn.XLOOKUP(A10,Junior_Botball_Challenge[Team ID],Junior_Botball_Challenge[Team Name], "")</f>
        <v>Biis</v>
      </c>
      <c r="C10" s="9">
        <v>15.0</v>
      </c>
      <c r="D10" s="39">
        <f>RANK(C10,Junior_Botball_Challenge_Scores[Points for Solved Challenges])</f>
        <v>4</v>
      </c>
    </row>
    <row r="11">
      <c r="A11" s="9" t="s">
        <v>143</v>
      </c>
      <c r="B11" s="16" t="str">
        <f t="array" ref="B11">_xlfn.XLOOKUP(A11,Junior_Botball_Challenge[Team ID],Junior_Botball_Challenge[Team Name], "")</f>
        <v>BEst SIlent CHaos</v>
      </c>
      <c r="C11" s="27">
        <v>21.0</v>
      </c>
      <c r="D11" s="49">
        <f>RANK(C11,Junior_Botball_Challenge_Scores[Points for Solved Challenges])</f>
        <v>1</v>
      </c>
    </row>
    <row r="12">
      <c r="A12" s="9" t="s">
        <v>146</v>
      </c>
      <c r="B12" s="16" t="str">
        <f t="array" ref="B12">_xlfn.XLOOKUP(A12,Junior_Botball_Challenge[Team ID],Junior_Botball_Challenge[Team Name], "")</f>
        <v>MS Böheimkirchen</v>
      </c>
      <c r="C12" s="27">
        <v>8.0</v>
      </c>
      <c r="D12" s="49">
        <f>RANK(C12,Junior_Botball_Challenge_Scores[Points for Solved Challenges])</f>
        <v>11</v>
      </c>
    </row>
    <row r="13">
      <c r="A13" s="9" t="s">
        <v>147</v>
      </c>
      <c r="B13" s="16" t="str">
        <f t="array" ref="B13">_xlfn.XLOOKUP(A13,Junior_Botball_Challenge[Team ID],Junior_Botball_Challenge[Team Name], "")</f>
        <v>SK_Lation</v>
      </c>
      <c r="C13" s="27">
        <v>12.0</v>
      </c>
      <c r="D13" s="49">
        <f>RANK(C13,Junior_Botball_Challenge_Scores[Points for Solved Challenges])</f>
        <v>8</v>
      </c>
    </row>
    <row r="14">
      <c r="A14" s="9" t="s">
        <v>149</v>
      </c>
      <c r="B14" s="16" t="str">
        <f t="array" ref="B14">_xlfn.XLOOKUP(A14,Junior_Botball_Challenge[Team ID],Junior_Botball_Challenge[Team Name], "")</f>
        <v>Robtik8</v>
      </c>
      <c r="C14" s="27">
        <v>14.0</v>
      </c>
      <c r="D14" s="49">
        <f>RANK(C14,Junior_Botball_Challenge_Scores[Points for Solved Challenges])</f>
        <v>6</v>
      </c>
    </row>
    <row r="15">
      <c r="A15" s="9" t="s">
        <v>152</v>
      </c>
      <c r="B15" s="16" t="str">
        <f t="array" ref="B15">_xlfn.XLOOKUP(A15,Junior_Botball_Challenge[Team ID],Junior_Botball_Challenge[Team Name], "")</f>
        <v>EMS Prinzersdorf 1</v>
      </c>
      <c r="C15" s="27">
        <v>16.0</v>
      </c>
      <c r="D15" s="49">
        <f>RANK(C15,Junior_Botball_Challenge_Scores[Points for Solved Challenges])</f>
        <v>3</v>
      </c>
    </row>
    <row r="16">
      <c r="A16" s="9" t="s">
        <v>154</v>
      </c>
      <c r="B16" s="16" t="str">
        <f t="array" ref="B16">_xlfn.XLOOKUP(A16,Junior_Botball_Challenge[Team ID],Junior_Botball_Challenge[Team Name], "")</f>
        <v>EMS Prinzersdorf 2</v>
      </c>
      <c r="C16" s="27">
        <v>15.0</v>
      </c>
      <c r="D16" s="49">
        <f>RANK(C16,Junior_Botball_Challenge_Scores[Points for Solved Challenges])</f>
        <v>4</v>
      </c>
    </row>
    <row r="17">
      <c r="A17" s="48"/>
      <c r="B17" s="51" t="str">
        <f t="array" ref="B17">_xlfn.XLOOKUP(A17,Junior_Botball_Challenge[Team ID],Junior_Botball_Challenge[Team Name], "")</f>
        <v/>
      </c>
      <c r="C17" s="52"/>
      <c r="D17" s="52"/>
    </row>
  </sheetData>
  <drawing r:id="rId1"/>
  <tableParts count="1">
    <tablePart r:id="rId3"/>
  </tableParts>
</worksheet>
</file>